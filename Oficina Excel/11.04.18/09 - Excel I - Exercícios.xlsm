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wdp" ContentType="image/vnd.ms-photo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EstaPastaDeTrabalho" defaultThemeVersion="124226"/>
  <mc:AlternateContent xmlns:mc="http://schemas.openxmlformats.org/markup-compatibility/2006">
    <mc:Choice Requires="x15">
      <x15ac:absPath xmlns:x15ac="http://schemas.microsoft.com/office/spreadsheetml/2010/11/ac" url="C:\Users\oliveira_priska\Downloads\"/>
    </mc:Choice>
  </mc:AlternateContent>
  <bookViews>
    <workbookView xWindow="0" yWindow="0" windowWidth="24000" windowHeight="9135" tabRatio="927"/>
  </bookViews>
  <sheets>
    <sheet name="Exp. 1" sheetId="13" r:id="rId1"/>
    <sheet name="Op. Lógicos" sheetId="14" r:id="rId2"/>
    <sheet name="Exp. 2" sheetId="10" r:id="rId3"/>
    <sheet name="Exp. 3" sheetId="16" r:id="rId4"/>
    <sheet name="Exercício 1" sheetId="20" r:id="rId5"/>
    <sheet name="Exercício 2" sheetId="7" r:id="rId6"/>
    <sheet name="Exercício 3" sheetId="4" r:id="rId7"/>
    <sheet name="Exercício 4" sheetId="21" r:id="rId8"/>
  </sheets>
  <externalReferences>
    <externalReference r:id="rId9"/>
    <externalReference r:id="rId10"/>
  </externalReferences>
  <definedNames>
    <definedName name="ge">[1]EXERCÍCIOH!$A$1:$G$4</definedName>
    <definedName name="LOCACAO">#REF!</definedName>
    <definedName name="MUSICA">#REF!</definedName>
    <definedName name="REFEICAO">#REF!</definedName>
    <definedName name="REGIOES">[2]ExercícioH!$A$1:$G$4</definedName>
  </definedNames>
  <calcPr calcId="152511"/>
</workbook>
</file>

<file path=xl/calcChain.xml><?xml version="1.0" encoding="utf-8"?>
<calcChain xmlns="http://schemas.openxmlformats.org/spreadsheetml/2006/main">
  <c r="D6" i="13" l="1"/>
  <c r="D5" i="13"/>
  <c r="D15" i="13" l="1"/>
  <c r="D14" i="13"/>
  <c r="D13" i="13"/>
  <c r="D12" i="13"/>
  <c r="D11" i="13"/>
  <c r="D10" i="13"/>
  <c r="D9" i="13"/>
  <c r="D8" i="13"/>
  <c r="D7" i="13"/>
</calcChain>
</file>

<file path=xl/sharedStrings.xml><?xml version="1.0" encoding="utf-8"?>
<sst xmlns="http://schemas.openxmlformats.org/spreadsheetml/2006/main" count="200" uniqueCount="146">
  <si>
    <t>Operadores Lógicos</t>
  </si>
  <si>
    <t>&gt;</t>
  </si>
  <si>
    <t>Maior</t>
  </si>
  <si>
    <t>&lt;</t>
  </si>
  <si>
    <t>Menor</t>
  </si>
  <si>
    <t>=</t>
  </si>
  <si>
    <t>Igual</t>
  </si>
  <si>
    <t>&lt;&gt;</t>
  </si>
  <si>
    <t>Diferente</t>
  </si>
  <si>
    <t>&gt;=</t>
  </si>
  <si>
    <t>&lt;=</t>
  </si>
  <si>
    <t>Marisa</t>
  </si>
  <si>
    <t>Preto</t>
  </si>
  <si>
    <t>Verde</t>
  </si>
  <si>
    <t>Vermelha</t>
  </si>
  <si>
    <t>Azul</t>
  </si>
  <si>
    <t>Amarelo</t>
  </si>
  <si>
    <t>Laranja</t>
  </si>
  <si>
    <t>Menor ou Igual</t>
  </si>
  <si>
    <t>Situação 1</t>
  </si>
  <si>
    <t>Situação 2</t>
  </si>
  <si>
    <t xml:space="preserve">I - </t>
  </si>
  <si>
    <t>Veículo</t>
  </si>
  <si>
    <t>Preço</t>
  </si>
  <si>
    <t xml:space="preserve">Categoria </t>
  </si>
  <si>
    <t>Palio 1.0</t>
  </si>
  <si>
    <t>Gol 1.0</t>
  </si>
  <si>
    <t/>
  </si>
  <si>
    <t>Gol 2.0</t>
  </si>
  <si>
    <t>Corsa 1.0</t>
  </si>
  <si>
    <t>Vectra</t>
  </si>
  <si>
    <t>Palio Weekend</t>
  </si>
  <si>
    <t>Golf</t>
  </si>
  <si>
    <t>.</t>
  </si>
  <si>
    <t xml:space="preserve">II  - </t>
  </si>
  <si>
    <t xml:space="preserve">III - </t>
  </si>
  <si>
    <t>Valor da Comissão - R$</t>
  </si>
  <si>
    <t>Carlos</t>
  </si>
  <si>
    <t>Marcelo</t>
  </si>
  <si>
    <t>Diego</t>
  </si>
  <si>
    <t>RESULTADO</t>
  </si>
  <si>
    <t>ALTURA</t>
  </si>
  <si>
    <t>Frete</t>
  </si>
  <si>
    <t>Afirmação</t>
  </si>
  <si>
    <t>Situação</t>
  </si>
  <si>
    <t xml:space="preserve">4&lt;3 </t>
  </si>
  <si>
    <t>10=5</t>
  </si>
  <si>
    <t>500&gt;50</t>
  </si>
  <si>
    <t>4&lt;&gt;500</t>
  </si>
  <si>
    <t>8&lt;=4</t>
  </si>
  <si>
    <t>700=50</t>
  </si>
  <si>
    <t>40&lt;6</t>
  </si>
  <si>
    <t>25&lt;7</t>
  </si>
  <si>
    <t>752&gt;751</t>
  </si>
  <si>
    <t>600&gt;75</t>
  </si>
  <si>
    <t>Segundo Valor</t>
  </si>
  <si>
    <t>Primeiro Valor</t>
  </si>
  <si>
    <t>Produto</t>
  </si>
  <si>
    <t>Valor</t>
  </si>
  <si>
    <t>Quantidade</t>
  </si>
  <si>
    <t>Moto G4</t>
  </si>
  <si>
    <t>Zenfone Go</t>
  </si>
  <si>
    <t>Lg K10</t>
  </si>
  <si>
    <t>Lenovo Vibe K5</t>
  </si>
  <si>
    <t>Moto E 2015</t>
  </si>
  <si>
    <t>Zenfone 2</t>
  </si>
  <si>
    <t>M4 Aqua</t>
  </si>
  <si>
    <t>Lg G3</t>
  </si>
  <si>
    <t>Zenfone Selfie</t>
  </si>
  <si>
    <t>Moto G4 Plus</t>
  </si>
  <si>
    <t>Zenfone 2 Laser</t>
  </si>
  <si>
    <t>Quantum Go</t>
  </si>
  <si>
    <t>Redmi 2 Pro</t>
  </si>
  <si>
    <t>Lenovo Vibe A7010</t>
  </si>
  <si>
    <t>Moto X Play</t>
  </si>
  <si>
    <t>Vermelho</t>
  </si>
  <si>
    <t>Bianca</t>
  </si>
  <si>
    <t>Marcia</t>
  </si>
  <si>
    <t>Se o nota for maior que 5 será "Aprovado", senão será "Reprovado".</t>
  </si>
  <si>
    <t>Se o valor for menor que 756,5 ele estará "Isento", senão receberá a "Taxa de 10%".</t>
  </si>
  <si>
    <t>Veículos com o preço acima de R$ 12.500,00 são considerados Convencionais e os carros com valores até R$ 12.500,00 são considerados como Popular.</t>
  </si>
  <si>
    <t>O custo de transporte (frete) é de 3% para os carros que tiverem o preço até R$ 20.000,00 e de 5% para os demais.</t>
  </si>
  <si>
    <t>O valor da comissão é de 5% para veículos de até R$ 25.000,00 e de 2% para veículos que custam mais que R$25.000,00.</t>
  </si>
  <si>
    <t>Estoque de Produtos</t>
  </si>
  <si>
    <t>META</t>
  </si>
  <si>
    <t>Funcionário</t>
  </si>
  <si>
    <t>Total de Venda</t>
  </si>
  <si>
    <t>Pedro Cirilo</t>
  </si>
  <si>
    <t>Cesar Prates</t>
  </si>
  <si>
    <t>Airton Macedo</t>
  </si>
  <si>
    <t>Verônica Marques</t>
  </si>
  <si>
    <t>Paulo Salgado</t>
  </si>
  <si>
    <t>Edgar Gouveia</t>
  </si>
  <si>
    <t>Suzana Valadares</t>
  </si>
  <si>
    <t>João Carlos Bonfim</t>
  </si>
  <si>
    <t>Amilcar Alves</t>
  </si>
  <si>
    <t>Mara Cristina</t>
  </si>
  <si>
    <t>Leandro Divino</t>
  </si>
  <si>
    <t>Francisco Taturana</t>
  </si>
  <si>
    <t>Edson Silveira</t>
  </si>
  <si>
    <t>Danilo Barcelos</t>
  </si>
  <si>
    <t>Cássio Cunha</t>
  </si>
  <si>
    <t>Gilmar Mascarenhas</t>
  </si>
  <si>
    <t>Diego Oliveira</t>
  </si>
  <si>
    <t>Jefferson Crispiniano</t>
  </si>
  <si>
    <t>Osvaldo Brandão</t>
  </si>
  <si>
    <t>Felipe Salvador</t>
  </si>
  <si>
    <t>Renata Piauí</t>
  </si>
  <si>
    <t>Juceir Venceslau</t>
  </si>
  <si>
    <t>Xerxes Amorim</t>
  </si>
  <si>
    <t>Sabrina Oliveira</t>
  </si>
  <si>
    <t>Rodrigo Gonçalves</t>
  </si>
  <si>
    <t>Renato Silva</t>
  </si>
  <si>
    <t>Gilson Vargas</t>
  </si>
  <si>
    <t>Osmar Silva</t>
  </si>
  <si>
    <t>Salomão Redish</t>
  </si>
  <si>
    <t>Bárbara Gomes</t>
  </si>
  <si>
    <t>Celina Borba</t>
  </si>
  <si>
    <t>Jorge Alencar</t>
  </si>
  <si>
    <t>Ricardo Santos</t>
  </si>
  <si>
    <t>Perguntas</t>
  </si>
  <si>
    <t>Respostas</t>
  </si>
  <si>
    <t>O que fazer?</t>
  </si>
  <si>
    <t>O modem está ligado?</t>
  </si>
  <si>
    <t>Resolveu?</t>
  </si>
  <si>
    <t>Já tentou reparar a internet com o Windows?</t>
  </si>
  <si>
    <t>Perguntou para o familiar que trabalha com TI?</t>
  </si>
  <si>
    <t>Está chovendo?</t>
  </si>
  <si>
    <t>500&gt;=50</t>
  </si>
  <si>
    <t>Maicon</t>
  </si>
  <si>
    <t>SIM</t>
  </si>
  <si>
    <t>NÃO</t>
  </si>
  <si>
    <t>Responda as afirmações com VERDADEIRO ou FALSO</t>
  </si>
  <si>
    <t>Resposta</t>
  </si>
  <si>
    <r>
      <rPr>
        <b/>
        <sz val="18"/>
        <rFont val="Arial"/>
        <family val="2"/>
      </rPr>
      <t xml:space="preserve"> =SE(</t>
    </r>
    <r>
      <rPr>
        <sz val="18"/>
        <color rgb="FF0070C0"/>
        <rFont val="Arial"/>
        <family val="2"/>
      </rPr>
      <t>teste_lógico</t>
    </r>
    <r>
      <rPr>
        <sz val="18"/>
        <rFont val="Arial"/>
        <family val="2"/>
      </rPr>
      <t>; [</t>
    </r>
    <r>
      <rPr>
        <sz val="18"/>
        <color rgb="FF00B050"/>
        <rFont val="Arial"/>
        <family val="2"/>
      </rPr>
      <t>valor_se_verdadeiro</t>
    </r>
    <r>
      <rPr>
        <sz val="18"/>
        <rFont val="Arial"/>
        <family val="2"/>
      </rPr>
      <t>]; [</t>
    </r>
    <r>
      <rPr>
        <sz val="18"/>
        <color rgb="FFFF0000"/>
        <rFont val="Arial"/>
        <family val="2"/>
      </rPr>
      <t>valor_se_falso</t>
    </r>
    <r>
      <rPr>
        <sz val="18"/>
        <rFont val="Arial"/>
        <family val="2"/>
      </rPr>
      <t>])</t>
    </r>
  </si>
  <si>
    <t>Venda em Março</t>
  </si>
  <si>
    <t>Se a primeira cor for diferente da segunda cor então o resultado é "Falso", senão será "Verdadeiro".</t>
  </si>
  <si>
    <t>Se o valor for maior ou igual a 1, ele será multiplicado por 100; senão será um valor "Baixo".</t>
  </si>
  <si>
    <t>Se o nome for Marisa "Acertou", senão exiba "Errou".</t>
  </si>
  <si>
    <t>Passos para resolver</t>
  </si>
  <si>
    <t>Utilizar a função adequada para resolver os problemas descritos.</t>
  </si>
  <si>
    <t>Ative o botão "Quebra de Texto Automaticamente";</t>
  </si>
  <si>
    <t>Mescle as células do título dos exercícios;</t>
  </si>
  <si>
    <t>Está sem internet em casa?</t>
  </si>
  <si>
    <t>André Santos</t>
  </si>
  <si>
    <t>Se o valor for menor ou igual a 3,5 ele "Está Barato", senão exiba "Está caro".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</si>
</sst>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4" formatCode="_-&quot;R$&quot;\ * #,##0.00_-;\-&quot;R$&quot;\ * #,##0.00_-;_-&quot;R$&quot;\ * &quot;-&quot;??_-;_-@_-"/>
  </numFmts>
  <fonts count="36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b/>
      <sz val="12"/>
      <color rgb="FF002060"/>
      <name val="Garamond"/>
      <family val="1"/>
    </font>
    <font>
      <b/>
      <sz val="11"/>
      <name val="Garamond"/>
      <family val="1"/>
    </font>
    <font>
      <b/>
      <sz val="11"/>
      <name val="Arial"/>
      <family val="2"/>
    </font>
    <font>
      <b/>
      <sz val="14"/>
      <color rgb="FF0070C0"/>
      <name val="Arial"/>
      <family val="2"/>
    </font>
    <font>
      <sz val="16"/>
      <name val="Arial"/>
      <family val="2"/>
    </font>
    <font>
      <b/>
      <sz val="16"/>
      <name val="Arial"/>
      <family val="2"/>
    </font>
    <font>
      <sz val="24"/>
      <name val="Arial"/>
      <family val="2"/>
    </font>
    <font>
      <sz val="26"/>
      <name val="Arial"/>
      <family val="2"/>
    </font>
    <font>
      <b/>
      <sz val="18"/>
      <color theme="0"/>
      <name val="Arial"/>
      <family val="2"/>
    </font>
    <font>
      <b/>
      <sz val="18"/>
      <color rgb="FF0070C0"/>
      <name val="Arial"/>
      <family val="2"/>
    </font>
    <font>
      <b/>
      <sz val="12"/>
      <color theme="3" tint="-0.249977111117893"/>
      <name val="Garamond"/>
      <family val="1"/>
    </font>
    <font>
      <b/>
      <sz val="16"/>
      <color theme="0"/>
      <name val="Calibri"/>
      <family val="2"/>
      <scheme val="minor"/>
    </font>
    <font>
      <b/>
      <sz val="12"/>
      <name val="Arial"/>
      <family val="2"/>
    </font>
    <font>
      <b/>
      <sz val="12"/>
      <color rgb="FF00B050"/>
      <name val="Arial"/>
      <family val="2"/>
    </font>
    <font>
      <sz val="12"/>
      <color theme="1"/>
      <name val="Calibri"/>
      <family val="2"/>
      <scheme val="minor"/>
    </font>
    <font>
      <sz val="16"/>
      <color theme="0"/>
      <name val="Arial"/>
      <family val="2"/>
    </font>
    <font>
      <sz val="16"/>
      <color theme="1"/>
      <name val="Calibri"/>
      <family val="2"/>
      <scheme val="minor"/>
    </font>
    <font>
      <sz val="16"/>
      <color theme="3" tint="0.39997558519241921"/>
      <name val="Calibri"/>
      <family val="2"/>
      <scheme val="minor"/>
    </font>
    <font>
      <sz val="12"/>
      <name val="Calibri"/>
      <family val="2"/>
      <scheme val="minor"/>
    </font>
    <font>
      <sz val="14"/>
      <name val="Calibri"/>
      <family val="2"/>
      <scheme val="minor"/>
    </font>
    <font>
      <sz val="18"/>
      <name val="Arial"/>
      <family val="2"/>
    </font>
    <font>
      <b/>
      <sz val="18"/>
      <name val="Arial"/>
      <family val="2"/>
    </font>
    <font>
      <sz val="18"/>
      <color rgb="FF0070C0"/>
      <name val="Arial"/>
      <family val="2"/>
    </font>
    <font>
      <sz val="18"/>
      <color rgb="FF00B050"/>
      <name val="Arial"/>
      <family val="2"/>
    </font>
    <font>
      <sz val="18"/>
      <color rgb="FFFF0000"/>
      <name val="Arial"/>
      <family val="2"/>
    </font>
    <font>
      <b/>
      <sz val="14"/>
      <color rgb="FF00B0F0"/>
      <name val="Arial"/>
      <family val="2"/>
    </font>
    <font>
      <b/>
      <i/>
      <sz val="10"/>
      <color theme="0" tint="-4.9989318521683403E-2"/>
      <name val="Arial"/>
      <family val="2"/>
    </font>
    <font>
      <b/>
      <sz val="12"/>
      <color theme="0" tint="-4.9989318521683403E-2"/>
      <name val="Arial"/>
      <family val="2"/>
    </font>
    <font>
      <sz val="18"/>
      <color theme="0"/>
      <name val="Arial"/>
      <family val="2"/>
    </font>
  </fonts>
  <fills count="19">
    <fill>
      <patternFill patternType="none"/>
    </fill>
    <fill>
      <patternFill patternType="gray125"/>
    </fill>
    <fill>
      <patternFill patternType="solid">
        <fgColor theme="3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3" tint="0.39994506668294322"/>
        <bgColor indexed="64"/>
      </patternFill>
    </fill>
    <fill>
      <patternFill patternType="solid">
        <fgColor rgb="FFFFE9A3"/>
        <bgColor indexed="64"/>
      </patternFill>
    </fill>
    <fill>
      <patternFill patternType="solid">
        <fgColor rgb="FFFFFBEF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8F0EC"/>
        <bgColor indexed="64"/>
      </patternFill>
    </fill>
  </fills>
  <borders count="67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/>
      <bottom/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1">
    <xf numFmtId="0" fontId="0" fillId="0" borderId="0"/>
    <xf numFmtId="44" fontId="6" fillId="0" borderId="0" applyFont="0" applyFill="0" applyBorder="0" applyAlignment="0" applyProtection="0"/>
    <xf numFmtId="0" fontId="3" fillId="0" borderId="0"/>
    <xf numFmtId="0" fontId="2" fillId="0" borderId="0"/>
    <xf numFmtId="44" fontId="2" fillId="0" borderId="0" applyFont="0" applyFill="0" applyBorder="0" applyAlignment="0" applyProtection="0"/>
    <xf numFmtId="0" fontId="6" fillId="0" borderId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275">
    <xf numFmtId="0" fontId="0" fillId="0" borderId="0" xfId="0"/>
    <xf numFmtId="0" fontId="6" fillId="0" borderId="0" xfId="0" applyFont="1"/>
    <xf numFmtId="2" fontId="0" fillId="0" borderId="0" xfId="0" applyNumberFormat="1" applyFill="1" applyBorder="1" applyAlignment="1">
      <alignment horizontal="center"/>
    </xf>
    <xf numFmtId="0" fontId="11" fillId="0" borderId="0" xfId="0" quotePrefix="1" applyFont="1"/>
    <xf numFmtId="0" fontId="2" fillId="0" borderId="0" xfId="3"/>
    <xf numFmtId="0" fontId="0" fillId="0" borderId="0" xfId="0" applyAlignment="1">
      <alignment horizontal="center" vertical="center"/>
    </xf>
    <xf numFmtId="0" fontId="0" fillId="0" borderId="0" xfId="0" applyBorder="1"/>
    <xf numFmtId="0" fontId="6" fillId="0" borderId="0" xfId="5"/>
    <xf numFmtId="0" fontId="9" fillId="9" borderId="17" xfId="5" applyFont="1" applyFill="1" applyBorder="1" applyAlignment="1">
      <alignment horizontal="center"/>
    </xf>
    <xf numFmtId="0" fontId="9" fillId="9" borderId="39" xfId="5" applyFont="1" applyFill="1" applyBorder="1" applyAlignment="1">
      <alignment horizontal="center"/>
    </xf>
    <xf numFmtId="0" fontId="21" fillId="0" borderId="38" xfId="3" applyFont="1" applyBorder="1" applyAlignment="1">
      <alignment horizontal="center" vertical="center"/>
    </xf>
    <xf numFmtId="0" fontId="4" fillId="0" borderId="14" xfId="3" applyFont="1" applyBorder="1" applyAlignment="1">
      <alignment horizontal="center" vertical="center"/>
    </xf>
    <xf numFmtId="0" fontId="4" fillId="0" borderId="19" xfId="3" applyFont="1" applyBorder="1" applyAlignment="1">
      <alignment horizontal="center" vertical="center"/>
    </xf>
    <xf numFmtId="0" fontId="21" fillId="0" borderId="19" xfId="3" applyFont="1" applyBorder="1" applyAlignment="1">
      <alignment horizontal="center" vertical="center"/>
    </xf>
    <xf numFmtId="0" fontId="21" fillId="0" borderId="15" xfId="3" applyFont="1" applyBorder="1" applyAlignment="1">
      <alignment horizontal="center" vertical="center"/>
    </xf>
    <xf numFmtId="0" fontId="19" fillId="7" borderId="17" xfId="0" applyFont="1" applyFill="1" applyBorder="1" applyAlignment="1">
      <alignment horizontal="center"/>
    </xf>
    <xf numFmtId="0" fontId="19" fillId="7" borderId="23" xfId="0" applyFont="1" applyFill="1" applyBorder="1" applyAlignment="1">
      <alignment horizontal="center"/>
    </xf>
    <xf numFmtId="0" fontId="4" fillId="0" borderId="0" xfId="5" applyFont="1"/>
    <xf numFmtId="0" fontId="4" fillId="0" borderId="0" xfId="5" applyFont="1" applyAlignment="1">
      <alignment horizontal="left" vertical="center"/>
    </xf>
    <xf numFmtId="0" fontId="19" fillId="11" borderId="27" xfId="5" applyFont="1" applyFill="1" applyBorder="1" applyAlignment="1">
      <alignment horizontal="center" vertical="center"/>
    </xf>
    <xf numFmtId="0" fontId="19" fillId="11" borderId="20" xfId="5" applyFont="1" applyFill="1" applyBorder="1" applyAlignment="1">
      <alignment horizontal="center" vertical="center"/>
    </xf>
    <xf numFmtId="0" fontId="2" fillId="0" borderId="0" xfId="3" applyFill="1"/>
    <xf numFmtId="0" fontId="17" fillId="0" borderId="3" xfId="0" applyFont="1" applyFill="1" applyBorder="1" applyAlignment="1"/>
    <xf numFmtId="0" fontId="17" fillId="0" borderId="4" xfId="0" applyFont="1" applyFill="1" applyBorder="1" applyAlignment="1"/>
    <xf numFmtId="0" fontId="17" fillId="0" borderId="5" xfId="0" applyFont="1" applyFill="1" applyBorder="1" applyAlignment="1"/>
    <xf numFmtId="0" fontId="17" fillId="0" borderId="7" xfId="0" applyFont="1" applyFill="1" applyBorder="1" applyAlignment="1"/>
    <xf numFmtId="0" fontId="17" fillId="0" borderId="8" xfId="0" applyFont="1" applyFill="1" applyBorder="1" applyAlignment="1"/>
    <xf numFmtId="0" fontId="17" fillId="0" borderId="9" xfId="0" applyFont="1" applyFill="1" applyBorder="1" applyAlignment="1"/>
    <xf numFmtId="0" fontId="7" fillId="0" borderId="3" xfId="0" applyFont="1" applyFill="1" applyBorder="1" applyAlignment="1">
      <alignment vertical="center"/>
    </xf>
    <xf numFmtId="0" fontId="7" fillId="0" borderId="4" xfId="0" applyFont="1" applyFill="1" applyBorder="1" applyAlignment="1">
      <alignment vertical="center"/>
    </xf>
    <xf numFmtId="0" fontId="7" fillId="0" borderId="5" xfId="0" applyFont="1" applyFill="1" applyBorder="1" applyAlignment="1">
      <alignment vertical="center"/>
    </xf>
    <xf numFmtId="0" fontId="7" fillId="0" borderId="7" xfId="0" applyFont="1" applyFill="1" applyBorder="1" applyAlignment="1">
      <alignment vertical="center"/>
    </xf>
    <xf numFmtId="0" fontId="7" fillId="0" borderId="8" xfId="0" applyFont="1" applyFill="1" applyBorder="1" applyAlignment="1">
      <alignment vertical="center"/>
    </xf>
    <xf numFmtId="0" fontId="7" fillId="0" borderId="9" xfId="0" applyFont="1" applyFill="1" applyBorder="1" applyAlignment="1">
      <alignment vertical="center"/>
    </xf>
    <xf numFmtId="0" fontId="7" fillId="0" borderId="3" xfId="0" applyFont="1" applyFill="1" applyBorder="1" applyAlignment="1"/>
    <xf numFmtId="0" fontId="7" fillId="0" borderId="4" xfId="0" applyFont="1" applyFill="1" applyBorder="1" applyAlignment="1"/>
    <xf numFmtId="0" fontId="7" fillId="0" borderId="5" xfId="0" applyFont="1" applyFill="1" applyBorder="1" applyAlignment="1"/>
    <xf numFmtId="0" fontId="7" fillId="0" borderId="7" xfId="0" applyFont="1" applyFill="1" applyBorder="1" applyAlignment="1"/>
    <xf numFmtId="0" fontId="7" fillId="0" borderId="8" xfId="0" applyFont="1" applyFill="1" applyBorder="1" applyAlignment="1"/>
    <xf numFmtId="0" fontId="7" fillId="0" borderId="9" xfId="0" applyFont="1" applyFill="1" applyBorder="1" applyAlignment="1"/>
    <xf numFmtId="0" fontId="19" fillId="3" borderId="37" xfId="3" applyFont="1" applyFill="1" applyBorder="1" applyAlignment="1">
      <alignment horizontal="center" vertical="center"/>
    </xf>
    <xf numFmtId="0" fontId="19" fillId="3" borderId="11" xfId="3" applyFont="1" applyFill="1" applyBorder="1" applyAlignment="1">
      <alignment horizontal="center" vertical="center"/>
    </xf>
    <xf numFmtId="0" fontId="19" fillId="3" borderId="10" xfId="3" applyFont="1" applyFill="1" applyBorder="1" applyAlignment="1">
      <alignment horizontal="center" vertical="center"/>
    </xf>
    <xf numFmtId="0" fontId="19" fillId="7" borderId="20" xfId="0" applyFont="1" applyFill="1" applyBorder="1" applyAlignment="1">
      <alignment horizontal="center"/>
    </xf>
    <xf numFmtId="0" fontId="4" fillId="0" borderId="47" xfId="0" applyFont="1" applyBorder="1" applyAlignment="1">
      <alignment vertical="center"/>
    </xf>
    <xf numFmtId="44" fontId="4" fillId="0" borderId="48" xfId="0" applyNumberFormat="1" applyFont="1" applyBorder="1" applyAlignment="1">
      <alignment vertical="center"/>
    </xf>
    <xf numFmtId="0" fontId="4" fillId="0" borderId="48" xfId="0" applyFont="1" applyBorder="1" applyAlignment="1">
      <alignment horizontal="center" vertical="center"/>
    </xf>
    <xf numFmtId="0" fontId="4" fillId="0" borderId="49" xfId="0" applyFont="1" applyBorder="1" applyAlignment="1">
      <alignment vertical="center"/>
    </xf>
    <xf numFmtId="44" fontId="4" fillId="0" borderId="50" xfId="0" applyNumberFormat="1" applyFont="1" applyBorder="1" applyAlignment="1">
      <alignment vertical="center"/>
    </xf>
    <xf numFmtId="0" fontId="4" fillId="0" borderId="50" xfId="0" applyFont="1" applyBorder="1" applyAlignment="1">
      <alignment horizontal="center" vertical="center"/>
    </xf>
    <xf numFmtId="0" fontId="4" fillId="0" borderId="51" xfId="0" applyFont="1" applyBorder="1" applyAlignment="1">
      <alignment vertical="center"/>
    </xf>
    <xf numFmtId="44" fontId="4" fillId="0" borderId="52" xfId="0" applyNumberFormat="1" applyFont="1" applyBorder="1" applyAlignment="1">
      <alignment vertical="center"/>
    </xf>
    <xf numFmtId="0" fontId="4" fillId="0" borderId="52" xfId="0" applyFont="1" applyBorder="1" applyAlignment="1">
      <alignment horizontal="center" vertical="center"/>
    </xf>
    <xf numFmtId="0" fontId="4" fillId="14" borderId="44" xfId="0" applyFont="1" applyFill="1" applyBorder="1" applyAlignment="1">
      <alignment horizontal="center" vertical="center"/>
    </xf>
    <xf numFmtId="0" fontId="4" fillId="14" borderId="45" xfId="0" applyFont="1" applyFill="1" applyBorder="1" applyAlignment="1">
      <alignment horizontal="center" vertical="center"/>
    </xf>
    <xf numFmtId="0" fontId="4" fillId="14" borderId="46" xfId="0" applyFont="1" applyFill="1" applyBorder="1" applyAlignment="1">
      <alignment horizontal="center" vertical="center"/>
    </xf>
    <xf numFmtId="0" fontId="6" fillId="0" borderId="27" xfId="5" applyBorder="1"/>
    <xf numFmtId="0" fontId="6" fillId="0" borderId="28" xfId="5" applyBorder="1"/>
    <xf numFmtId="0" fontId="6" fillId="0" borderId="29" xfId="5" applyBorder="1"/>
    <xf numFmtId="0" fontId="6" fillId="0" borderId="24" xfId="5" applyBorder="1"/>
    <xf numFmtId="0" fontId="6" fillId="0" borderId="0" xfId="5" applyBorder="1"/>
    <xf numFmtId="0" fontId="6" fillId="0" borderId="25" xfId="5" applyBorder="1"/>
    <xf numFmtId="0" fontId="6" fillId="0" borderId="0" xfId="5" applyBorder="1" applyAlignment="1">
      <alignment horizontal="center"/>
    </xf>
    <xf numFmtId="0" fontId="6" fillId="0" borderId="21" xfId="5" applyBorder="1"/>
    <xf numFmtId="0" fontId="6" fillId="0" borderId="26" xfId="5" applyBorder="1"/>
    <xf numFmtId="0" fontId="6" fillId="0" borderId="22" xfId="5" applyBorder="1"/>
    <xf numFmtId="0" fontId="6" fillId="9" borderId="0" xfId="5" applyFill="1"/>
    <xf numFmtId="0" fontId="9" fillId="9" borderId="37" xfId="5" applyFont="1" applyFill="1" applyBorder="1" applyAlignment="1">
      <alignment horizontal="center"/>
    </xf>
    <xf numFmtId="0" fontId="9" fillId="9" borderId="18" xfId="5" applyFont="1" applyFill="1" applyBorder="1" applyAlignment="1">
      <alignment horizontal="center"/>
    </xf>
    <xf numFmtId="44" fontId="20" fillId="5" borderId="11" xfId="5" applyNumberFormat="1" applyFont="1" applyFill="1" applyBorder="1" applyAlignment="1">
      <alignment horizontal="center"/>
    </xf>
    <xf numFmtId="0" fontId="6" fillId="0" borderId="24" xfId="5" applyBorder="1" applyAlignment="1">
      <alignment vertical="center"/>
    </xf>
    <xf numFmtId="44" fontId="6" fillId="0" borderId="1" xfId="5" applyNumberFormat="1" applyBorder="1" applyAlignment="1">
      <alignment vertical="center"/>
    </xf>
    <xf numFmtId="0" fontId="6" fillId="0" borderId="40" xfId="5" applyBorder="1" applyAlignment="1">
      <alignment horizontal="center" vertical="center"/>
    </xf>
    <xf numFmtId="0" fontId="6" fillId="0" borderId="25" xfId="5" applyBorder="1" applyAlignment="1">
      <alignment horizontal="center" vertical="center"/>
    </xf>
    <xf numFmtId="0" fontId="6" fillId="0" borderId="21" xfId="5" applyBorder="1" applyAlignment="1">
      <alignment vertical="center"/>
    </xf>
    <xf numFmtId="44" fontId="6" fillId="0" borderId="53" xfId="5" applyNumberFormat="1" applyBorder="1" applyAlignment="1">
      <alignment vertical="center"/>
    </xf>
    <xf numFmtId="0" fontId="6" fillId="0" borderId="54" xfId="5" applyBorder="1" applyAlignment="1">
      <alignment horizontal="center" vertical="center"/>
    </xf>
    <xf numFmtId="0" fontId="6" fillId="0" borderId="22" xfId="5" applyBorder="1" applyAlignment="1">
      <alignment horizontal="center" vertical="center"/>
    </xf>
    <xf numFmtId="0" fontId="19" fillId="15" borderId="10" xfId="5" applyFont="1" applyFill="1" applyBorder="1" applyAlignment="1">
      <alignment horizontal="center"/>
    </xf>
    <xf numFmtId="0" fontId="0" fillId="0" borderId="27" xfId="0" applyBorder="1"/>
    <xf numFmtId="0" fontId="0" fillId="0" borderId="28" xfId="0" applyBorder="1"/>
    <xf numFmtId="0" fontId="0" fillId="0" borderId="29" xfId="0" applyBorder="1"/>
    <xf numFmtId="0" fontId="0" fillId="0" borderId="24" xfId="0" applyBorder="1"/>
    <xf numFmtId="0" fontId="0" fillId="0" borderId="25" xfId="0" applyBorder="1"/>
    <xf numFmtId="0" fontId="0" fillId="0" borderId="21" xfId="0" applyBorder="1"/>
    <xf numFmtId="0" fontId="0" fillId="0" borderId="26" xfId="0" applyBorder="1"/>
    <xf numFmtId="0" fontId="0" fillId="0" borderId="22" xfId="0" applyBorder="1"/>
    <xf numFmtId="0" fontId="0" fillId="0" borderId="6" xfId="0" applyBorder="1" applyAlignment="1">
      <alignment horizontal="center"/>
    </xf>
    <xf numFmtId="0" fontId="0" fillId="0" borderId="9" xfId="0" applyBorder="1" applyAlignment="1">
      <alignment horizontal="center"/>
    </xf>
    <xf numFmtId="0" fontId="6" fillId="0" borderId="1" xfId="0" applyFont="1" applyBorder="1"/>
    <xf numFmtId="0" fontId="6" fillId="0" borderId="6" xfId="0" applyFont="1" applyFill="1" applyBorder="1" applyAlignment="1">
      <alignment horizontal="center"/>
    </xf>
    <xf numFmtId="0" fontId="6" fillId="0" borderId="1" xfId="0" applyFont="1" applyFill="1" applyBorder="1"/>
    <xf numFmtId="0" fontId="6" fillId="0" borderId="7" xfId="0" applyFont="1" applyFill="1" applyBorder="1"/>
    <xf numFmtId="0" fontId="6" fillId="0" borderId="9" xfId="0" applyFont="1" applyFill="1" applyBorder="1" applyAlignment="1">
      <alignment horizontal="center"/>
    </xf>
    <xf numFmtId="44" fontId="0" fillId="0" borderId="58" xfId="1" applyFont="1" applyBorder="1"/>
    <xf numFmtId="44" fontId="0" fillId="0" borderId="59" xfId="1" applyFont="1" applyBorder="1"/>
    <xf numFmtId="0" fontId="0" fillId="0" borderId="58" xfId="0" applyBorder="1" applyAlignment="1">
      <alignment horizontal="center"/>
    </xf>
    <xf numFmtId="0" fontId="0" fillId="0" borderId="59" xfId="0" applyBorder="1" applyAlignment="1">
      <alignment horizontal="center"/>
    </xf>
    <xf numFmtId="0" fontId="6" fillId="0" borderId="61" xfId="0" applyFont="1" applyFill="1" applyBorder="1"/>
    <xf numFmtId="0" fontId="6" fillId="0" borderId="62" xfId="0" applyFont="1" applyFill="1" applyBorder="1"/>
    <xf numFmtId="2" fontId="0" fillId="0" borderId="58" xfId="0" applyNumberFormat="1" applyFill="1" applyBorder="1" applyAlignment="1">
      <alignment horizontal="center"/>
    </xf>
    <xf numFmtId="2" fontId="0" fillId="0" borderId="59" xfId="0" applyNumberFormat="1" applyFill="1" applyBorder="1" applyAlignment="1">
      <alignment horizontal="center"/>
    </xf>
    <xf numFmtId="0" fontId="0" fillId="0" borderId="58" xfId="1" applyNumberFormat="1" applyFont="1" applyFill="1" applyBorder="1" applyAlignment="1">
      <alignment horizontal="center"/>
    </xf>
    <xf numFmtId="0" fontId="0" fillId="0" borderId="59" xfId="1" applyNumberFormat="1" applyFont="1" applyFill="1" applyBorder="1" applyAlignment="1">
      <alignment horizontal="center"/>
    </xf>
    <xf numFmtId="0" fontId="6" fillId="0" borderId="58" xfId="0" applyFont="1" applyBorder="1"/>
    <xf numFmtId="0" fontId="6" fillId="0" borderId="58" xfId="0" applyFont="1" applyFill="1" applyBorder="1"/>
    <xf numFmtId="0" fontId="6" fillId="0" borderId="59" xfId="0" applyFont="1" applyFill="1" applyBorder="1"/>
    <xf numFmtId="0" fontId="6" fillId="0" borderId="6" xfId="0" applyFont="1" applyBorder="1" applyAlignment="1">
      <alignment horizontal="center"/>
    </xf>
    <xf numFmtId="0" fontId="0" fillId="7" borderId="27" xfId="0" applyFill="1" applyBorder="1"/>
    <xf numFmtId="0" fontId="0" fillId="7" borderId="28" xfId="0" applyFill="1" applyBorder="1"/>
    <xf numFmtId="0" fontId="0" fillId="7" borderId="29" xfId="0" applyFill="1" applyBorder="1"/>
    <xf numFmtId="0" fontId="6" fillId="7" borderId="0" xfId="0" applyFont="1" applyFill="1" applyBorder="1" applyAlignment="1">
      <alignment horizontal="center" vertical="center" wrapText="1"/>
    </xf>
    <xf numFmtId="0" fontId="0" fillId="7" borderId="0" xfId="0" applyFill="1" applyBorder="1"/>
    <xf numFmtId="0" fontId="6" fillId="7" borderId="0" xfId="0" applyFont="1" applyFill="1" applyBorder="1" applyAlignment="1">
      <alignment wrapText="1"/>
    </xf>
    <xf numFmtId="0" fontId="0" fillId="7" borderId="26" xfId="0" applyFill="1" applyBorder="1"/>
    <xf numFmtId="0" fontId="0" fillId="7" borderId="24" xfId="0" applyFill="1" applyBorder="1" applyAlignment="1">
      <alignment horizontal="center" vertical="center"/>
    </xf>
    <xf numFmtId="0" fontId="0" fillId="7" borderId="24" xfId="0" applyFill="1" applyBorder="1"/>
    <xf numFmtId="0" fontId="0" fillId="7" borderId="21" xfId="0" applyFill="1" applyBorder="1"/>
    <xf numFmtId="0" fontId="0" fillId="7" borderId="25" xfId="0" applyFill="1" applyBorder="1"/>
    <xf numFmtId="0" fontId="0" fillId="7" borderId="25" xfId="0" applyFill="1" applyBorder="1" applyAlignment="1">
      <alignment horizontal="center" vertical="center"/>
    </xf>
    <xf numFmtId="0" fontId="0" fillId="7" borderId="22" xfId="0" applyFill="1" applyBorder="1"/>
    <xf numFmtId="2" fontId="0" fillId="7" borderId="0" xfId="0" applyNumberFormat="1" applyFill="1" applyBorder="1" applyAlignment="1">
      <alignment horizontal="center"/>
    </xf>
    <xf numFmtId="0" fontId="0" fillId="9" borderId="0" xfId="0" applyFill="1"/>
    <xf numFmtId="0" fontId="0" fillId="9" borderId="0" xfId="0" applyFill="1" applyBorder="1"/>
    <xf numFmtId="0" fontId="0" fillId="9" borderId="0" xfId="0" applyFill="1" applyAlignment="1">
      <alignment horizontal="center" vertical="center"/>
    </xf>
    <xf numFmtId="0" fontId="6" fillId="9" borderId="0" xfId="0" applyFont="1" applyFill="1" applyBorder="1"/>
    <xf numFmtId="0" fontId="32" fillId="8" borderId="57" xfId="0" applyFont="1" applyFill="1" applyBorder="1" applyAlignment="1">
      <alignment horizontal="center"/>
    </xf>
    <xf numFmtId="0" fontId="5" fillId="8" borderId="56" xfId="0" applyFont="1" applyFill="1" applyBorder="1" applyAlignment="1">
      <alignment horizontal="center" vertical="center"/>
    </xf>
    <xf numFmtId="0" fontId="9" fillId="0" borderId="24" xfId="0" applyFont="1" applyBorder="1" applyAlignment="1">
      <alignment horizontal="right"/>
    </xf>
    <xf numFmtId="0" fontId="8" fillId="0" borderId="0" xfId="0" applyFont="1" applyBorder="1"/>
    <xf numFmtId="0" fontId="5" fillId="0" borderId="24" xfId="0" applyFont="1" applyBorder="1" applyAlignment="1">
      <alignment horizontal="right"/>
    </xf>
    <xf numFmtId="0" fontId="6" fillId="0" borderId="0" xfId="0" applyFont="1" applyBorder="1"/>
    <xf numFmtId="0" fontId="33" fillId="17" borderId="63" xfId="0" applyFont="1" applyFill="1" applyBorder="1" applyAlignment="1">
      <alignment horizontal="center" vertical="center"/>
    </xf>
    <xf numFmtId="0" fontId="33" fillId="17" borderId="64" xfId="0" applyFont="1" applyFill="1" applyBorder="1" applyAlignment="1">
      <alignment horizontal="center" vertical="center"/>
    </xf>
    <xf numFmtId="0" fontId="33" fillId="17" borderId="65" xfId="0" applyFont="1" applyFill="1" applyBorder="1" applyAlignment="1">
      <alignment horizontal="center" vertical="center"/>
    </xf>
    <xf numFmtId="0" fontId="0" fillId="0" borderId="40" xfId="0" applyBorder="1"/>
    <xf numFmtId="44" fontId="0" fillId="0" borderId="40" xfId="1" applyFont="1" applyBorder="1"/>
    <xf numFmtId="0" fontId="0" fillId="18" borderId="40" xfId="0" applyFill="1" applyBorder="1" applyAlignment="1">
      <alignment horizontal="center"/>
    </xf>
    <xf numFmtId="0" fontId="0" fillId="0" borderId="38" xfId="0" applyBorder="1"/>
    <xf numFmtId="44" fontId="0" fillId="0" borderId="38" xfId="1" applyFont="1" applyBorder="1"/>
    <xf numFmtId="0" fontId="0" fillId="18" borderId="38" xfId="0" applyFill="1" applyBorder="1" applyAlignment="1">
      <alignment horizontal="center"/>
    </xf>
    <xf numFmtId="0" fontId="33" fillId="17" borderId="65" xfId="0" applyFont="1" applyFill="1" applyBorder="1" applyAlignment="1">
      <alignment horizontal="center" vertical="center" wrapText="1"/>
    </xf>
    <xf numFmtId="0" fontId="4" fillId="0" borderId="7" xfId="0" applyFont="1" applyBorder="1" applyAlignment="1">
      <alignment horizontal="left"/>
    </xf>
    <xf numFmtId="0" fontId="4" fillId="0" borderId="8" xfId="0" applyFont="1" applyBorder="1" applyAlignment="1">
      <alignment horizontal="left"/>
    </xf>
    <xf numFmtId="0" fontId="4" fillId="0" borderId="9" xfId="0" applyFont="1" applyBorder="1" applyAlignment="1">
      <alignment horizontal="left"/>
    </xf>
    <xf numFmtId="0" fontId="4" fillId="0" borderId="27" xfId="5" applyFont="1" applyBorder="1"/>
    <xf numFmtId="0" fontId="4" fillId="0" borderId="28" xfId="5" applyFont="1" applyBorder="1"/>
    <xf numFmtId="0" fontId="4" fillId="0" borderId="29" xfId="5" applyFont="1" applyBorder="1"/>
    <xf numFmtId="0" fontId="4" fillId="0" borderId="24" xfId="5" applyFont="1" applyBorder="1"/>
    <xf numFmtId="0" fontId="4" fillId="0" borderId="0" xfId="5" applyFont="1" applyBorder="1"/>
    <xf numFmtId="0" fontId="4" fillId="0" borderId="25" xfId="5" applyFont="1" applyBorder="1"/>
    <xf numFmtId="0" fontId="4" fillId="0" borderId="24" xfId="5" applyFont="1" applyBorder="1" applyAlignment="1">
      <alignment horizontal="left" vertical="center"/>
    </xf>
    <xf numFmtId="0" fontId="4" fillId="0" borderId="25" xfId="5" applyFont="1" applyBorder="1" applyAlignment="1">
      <alignment horizontal="left" vertical="center"/>
    </xf>
    <xf numFmtId="0" fontId="4" fillId="0" borderId="21" xfId="5" applyFont="1" applyBorder="1"/>
    <xf numFmtId="0" fontId="4" fillId="0" borderId="26" xfId="5" applyFont="1" applyBorder="1"/>
    <xf numFmtId="0" fontId="4" fillId="0" borderId="22" xfId="5" applyFont="1" applyBorder="1"/>
    <xf numFmtId="0" fontId="4" fillId="9" borderId="0" xfId="5" applyFont="1" applyFill="1"/>
    <xf numFmtId="0" fontId="4" fillId="9" borderId="0" xfId="5" applyFont="1" applyFill="1" applyAlignment="1">
      <alignment horizontal="left" vertical="center"/>
    </xf>
    <xf numFmtId="0" fontId="11" fillId="0" borderId="14" xfId="3" applyFont="1" applyBorder="1" applyAlignment="1">
      <alignment horizontal="center" vertical="center"/>
    </xf>
    <xf numFmtId="0" fontId="23" fillId="0" borderId="19" xfId="3" applyFont="1" applyBorder="1" applyAlignment="1">
      <alignment horizontal="center" vertical="center"/>
    </xf>
    <xf numFmtId="0" fontId="24" fillId="12" borderId="2" xfId="3" applyFont="1" applyFill="1" applyBorder="1" applyAlignment="1">
      <alignment horizontal="center" vertical="center"/>
    </xf>
    <xf numFmtId="0" fontId="24" fillId="12" borderId="41" xfId="3" applyFont="1" applyFill="1" applyBorder="1" applyAlignment="1">
      <alignment horizontal="center" vertical="center"/>
    </xf>
    <xf numFmtId="0" fontId="22" fillId="4" borderId="31" xfId="3" applyFont="1" applyFill="1" applyBorder="1" applyAlignment="1">
      <alignment horizontal="center" vertical="center" wrapText="1"/>
    </xf>
    <xf numFmtId="0" fontId="22" fillId="4" borderId="32" xfId="3" applyFont="1" applyFill="1" applyBorder="1" applyAlignment="1">
      <alignment horizontal="center" vertical="center" wrapText="1"/>
    </xf>
    <xf numFmtId="0" fontId="22" fillId="4" borderId="33" xfId="3" applyFont="1" applyFill="1" applyBorder="1" applyAlignment="1">
      <alignment horizontal="center" vertical="center" wrapText="1"/>
    </xf>
    <xf numFmtId="0" fontId="22" fillId="4" borderId="35" xfId="3" applyFont="1" applyFill="1" applyBorder="1" applyAlignment="1">
      <alignment horizontal="center" vertical="center" wrapText="1"/>
    </xf>
    <xf numFmtId="0" fontId="22" fillId="4" borderId="30" xfId="3" applyFont="1" applyFill="1" applyBorder="1" applyAlignment="1">
      <alignment horizontal="center" vertical="center" wrapText="1"/>
    </xf>
    <xf numFmtId="0" fontId="22" fillId="4" borderId="36" xfId="3" applyFont="1" applyFill="1" applyBorder="1" applyAlignment="1">
      <alignment horizontal="center" vertical="center" wrapText="1"/>
    </xf>
    <xf numFmtId="0" fontId="12" fillId="6" borderId="10" xfId="3" applyFont="1" applyFill="1" applyBorder="1" applyAlignment="1">
      <alignment horizontal="center" vertical="center"/>
    </xf>
    <xf numFmtId="0" fontId="12" fillId="6" borderId="37" xfId="3" applyFont="1" applyFill="1" applyBorder="1" applyAlignment="1">
      <alignment horizontal="center" vertical="center"/>
    </xf>
    <xf numFmtId="0" fontId="12" fillId="6" borderId="11" xfId="3" applyFont="1" applyFill="1" applyBorder="1" applyAlignment="1">
      <alignment horizontal="center" vertical="center"/>
    </xf>
    <xf numFmtId="0" fontId="11" fillId="0" borderId="12" xfId="3" applyFont="1" applyBorder="1" applyAlignment="1">
      <alignment horizontal="center" vertical="center"/>
    </xf>
    <xf numFmtId="0" fontId="23" fillId="0" borderId="38" xfId="3" applyFont="1" applyBorder="1" applyAlignment="1">
      <alignment horizontal="center" vertical="center"/>
    </xf>
    <xf numFmtId="0" fontId="24" fillId="12" borderId="38" xfId="3" applyFont="1" applyFill="1" applyBorder="1" applyAlignment="1">
      <alignment horizontal="center" vertical="center"/>
    </xf>
    <xf numFmtId="0" fontId="24" fillId="12" borderId="13" xfId="3" applyFont="1" applyFill="1" applyBorder="1" applyAlignment="1">
      <alignment horizontal="center" vertical="center"/>
    </xf>
    <xf numFmtId="0" fontId="11" fillId="0" borderId="16" xfId="3" applyFont="1" applyBorder="1" applyAlignment="1">
      <alignment horizontal="center" vertical="center"/>
    </xf>
    <xf numFmtId="0" fontId="23" fillId="0" borderId="34" xfId="3" applyFont="1" applyBorder="1" applyAlignment="1">
      <alignment horizontal="center" vertical="center"/>
    </xf>
    <xf numFmtId="0" fontId="24" fillId="12" borderId="42" xfId="3" applyFont="1" applyFill="1" applyBorder="1" applyAlignment="1">
      <alignment horizontal="center" vertical="center"/>
    </xf>
    <xf numFmtId="0" fontId="24" fillId="12" borderId="43" xfId="3" applyFont="1" applyFill="1" applyBorder="1" applyAlignment="1">
      <alignment horizontal="center" vertical="center"/>
    </xf>
    <xf numFmtId="0" fontId="15" fillId="2" borderId="31" xfId="3" applyFont="1" applyFill="1" applyBorder="1" applyAlignment="1">
      <alignment horizontal="center" vertical="center"/>
    </xf>
    <xf numFmtId="0" fontId="15" fillId="2" borderId="32" xfId="3" applyFont="1" applyFill="1" applyBorder="1" applyAlignment="1">
      <alignment horizontal="center" vertical="center"/>
    </xf>
    <xf numFmtId="0" fontId="15" fillId="2" borderId="33" xfId="3" applyFont="1" applyFill="1" applyBorder="1" applyAlignment="1">
      <alignment horizontal="center" vertical="center"/>
    </xf>
    <xf numFmtId="0" fontId="15" fillId="2" borderId="35" xfId="3" applyFont="1" applyFill="1" applyBorder="1" applyAlignment="1">
      <alignment horizontal="center" vertical="center"/>
    </xf>
    <xf numFmtId="0" fontId="15" fillId="2" borderId="30" xfId="3" applyFont="1" applyFill="1" applyBorder="1" applyAlignment="1">
      <alignment horizontal="center" vertical="center"/>
    </xf>
    <xf numFmtId="0" fontId="15" fillId="2" borderId="36" xfId="3" applyFont="1" applyFill="1" applyBorder="1" applyAlignment="1">
      <alignment horizontal="center" vertical="center"/>
    </xf>
    <xf numFmtId="0" fontId="16" fillId="7" borderId="27" xfId="0" applyFont="1" applyFill="1" applyBorder="1" applyAlignment="1">
      <alignment horizontal="center" vertical="center"/>
    </xf>
    <xf numFmtId="0" fontId="16" fillId="7" borderId="29" xfId="0" applyFont="1" applyFill="1" applyBorder="1" applyAlignment="1">
      <alignment horizontal="center" vertical="center"/>
    </xf>
    <xf numFmtId="0" fontId="16" fillId="7" borderId="21" xfId="0" applyFont="1" applyFill="1" applyBorder="1" applyAlignment="1">
      <alignment horizontal="center" vertical="center"/>
    </xf>
    <xf numFmtId="0" fontId="16" fillId="7" borderId="22" xfId="0" applyFont="1" applyFill="1" applyBorder="1" applyAlignment="1">
      <alignment horizontal="center" vertical="center"/>
    </xf>
    <xf numFmtId="0" fontId="10" fillId="9" borderId="27" xfId="0" applyFont="1" applyFill="1" applyBorder="1" applyAlignment="1">
      <alignment horizontal="center" vertical="center"/>
    </xf>
    <xf numFmtId="0" fontId="10" fillId="9" borderId="28" xfId="0" applyFont="1" applyFill="1" applyBorder="1" applyAlignment="1">
      <alignment horizontal="center" vertical="center"/>
    </xf>
    <xf numFmtId="0" fontId="10" fillId="9" borderId="29" xfId="0" applyFont="1" applyFill="1" applyBorder="1" applyAlignment="1">
      <alignment horizontal="center" vertical="center"/>
    </xf>
    <xf numFmtId="0" fontId="27" fillId="13" borderId="17" xfId="0" applyFont="1" applyFill="1" applyBorder="1" applyAlignment="1">
      <alignment horizontal="center" vertical="center"/>
    </xf>
    <xf numFmtId="0" fontId="27" fillId="13" borderId="23" xfId="0" applyFont="1" applyFill="1" applyBorder="1" applyAlignment="1">
      <alignment horizontal="center" vertical="center"/>
    </xf>
    <xf numFmtId="0" fontId="27" fillId="13" borderId="18" xfId="0" applyFont="1" applyFill="1" applyBorder="1" applyAlignment="1">
      <alignment horizontal="center" vertical="center"/>
    </xf>
    <xf numFmtId="0" fontId="18" fillId="16" borderId="17" xfId="5" applyFont="1" applyFill="1" applyBorder="1" applyAlignment="1">
      <alignment horizontal="center"/>
    </xf>
    <xf numFmtId="0" fontId="18" fillId="16" borderId="23" xfId="5" applyFont="1" applyFill="1" applyBorder="1" applyAlignment="1">
      <alignment horizontal="center"/>
    </xf>
    <xf numFmtId="0" fontId="6" fillId="7" borderId="17" xfId="5" applyFill="1" applyBorder="1" applyAlignment="1">
      <alignment horizontal="center"/>
    </xf>
    <xf numFmtId="0" fontId="6" fillId="7" borderId="23" xfId="5" applyFill="1" applyBorder="1" applyAlignment="1">
      <alignment horizontal="center"/>
    </xf>
    <xf numFmtId="0" fontId="6" fillId="7" borderId="18" xfId="5" applyFill="1" applyBorder="1" applyAlignment="1">
      <alignment horizontal="center"/>
    </xf>
    <xf numFmtId="0" fontId="0" fillId="7" borderId="17" xfId="0" applyFill="1" applyBorder="1" applyAlignment="1">
      <alignment horizontal="center"/>
    </xf>
    <xf numFmtId="0" fontId="0" fillId="7" borderId="23" xfId="0" applyFill="1" applyBorder="1" applyAlignment="1">
      <alignment horizontal="center"/>
    </xf>
    <xf numFmtId="0" fontId="0" fillId="7" borderId="18" xfId="0" applyFill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5" fillId="8" borderId="55" xfId="0" applyFont="1" applyFill="1" applyBorder="1" applyAlignment="1">
      <alignment horizontal="center" vertical="center"/>
    </xf>
    <xf numFmtId="0" fontId="5" fillId="8" borderId="56" xfId="0" applyFont="1" applyFill="1" applyBorder="1" applyAlignment="1">
      <alignment horizontal="center" vertical="center"/>
    </xf>
    <xf numFmtId="0" fontId="5" fillId="0" borderId="19" xfId="0" applyFont="1" applyBorder="1" applyAlignment="1">
      <alignment horizontal="center" vertical="center" wrapText="1"/>
    </xf>
    <xf numFmtId="0" fontId="5" fillId="0" borderId="30" xfId="0" applyFont="1" applyBorder="1" applyAlignment="1">
      <alignment horizontal="center" vertical="center" wrapText="1"/>
    </xf>
    <xf numFmtId="0" fontId="5" fillId="0" borderId="3" xfId="0" applyFont="1" applyBorder="1" applyAlignment="1">
      <alignment horizontal="center" vertical="center" wrapText="1"/>
    </xf>
    <xf numFmtId="0" fontId="5" fillId="0" borderId="5" xfId="0" applyFont="1" applyBorder="1" applyAlignment="1">
      <alignment horizontal="center" vertical="center" wrapText="1"/>
    </xf>
    <xf numFmtId="0" fontId="5" fillId="0" borderId="1" xfId="0" applyFont="1" applyBorder="1" applyAlignment="1">
      <alignment horizontal="center" vertical="center" wrapText="1"/>
    </xf>
    <xf numFmtId="0" fontId="5" fillId="0" borderId="6" xfId="0" applyFont="1" applyBorder="1" applyAlignment="1">
      <alignment horizontal="center" vertical="center" wrapText="1"/>
    </xf>
    <xf numFmtId="0" fontId="32" fillId="8" borderId="2" xfId="0" applyFont="1" applyFill="1" applyBorder="1" applyAlignment="1">
      <alignment horizontal="center"/>
    </xf>
    <xf numFmtId="0" fontId="32" fillId="8" borderId="60" xfId="0" applyFont="1" applyFill="1" applyBorder="1" applyAlignment="1">
      <alignment horizontal="center"/>
    </xf>
    <xf numFmtId="0" fontId="5" fillId="0" borderId="4" xfId="0" applyFont="1" applyBorder="1" applyAlignment="1">
      <alignment horizontal="center" vertical="center" wrapText="1"/>
    </xf>
    <xf numFmtId="0" fontId="5" fillId="0" borderId="0" xfId="0" applyFont="1" applyBorder="1" applyAlignment="1">
      <alignment horizontal="center" vertical="center" wrapText="1"/>
    </xf>
    <xf numFmtId="0" fontId="4" fillId="0" borderId="3" xfId="0" applyFont="1" applyBorder="1" applyAlignment="1">
      <alignment horizontal="left"/>
    </xf>
    <xf numFmtId="0" fontId="4" fillId="0" borderId="4" xfId="0" applyFont="1" applyBorder="1" applyAlignment="1">
      <alignment horizontal="left"/>
    </xf>
    <xf numFmtId="0" fontId="4" fillId="0" borderId="5" xfId="0" applyFont="1" applyBorder="1" applyAlignment="1">
      <alignment horizontal="left"/>
    </xf>
    <xf numFmtId="0" fontId="4" fillId="0" borderId="1" xfId="0" applyFont="1" applyBorder="1" applyAlignment="1">
      <alignment horizontal="left"/>
    </xf>
    <xf numFmtId="0" fontId="4" fillId="0" borderId="0" xfId="0" applyFont="1" applyBorder="1" applyAlignment="1">
      <alignment horizontal="left"/>
    </xf>
    <xf numFmtId="0" fontId="4" fillId="0" borderId="6" xfId="0" applyFont="1" applyBorder="1" applyAlignment="1">
      <alignment horizontal="left"/>
    </xf>
    <xf numFmtId="0" fontId="34" fillId="17" borderId="3" xfId="0" applyFont="1" applyFill="1" applyBorder="1" applyAlignment="1">
      <alignment horizontal="center"/>
    </xf>
    <xf numFmtId="0" fontId="34" fillId="17" borderId="4" xfId="0" applyFont="1" applyFill="1" applyBorder="1" applyAlignment="1">
      <alignment horizontal="center"/>
    </xf>
    <xf numFmtId="0" fontId="34" fillId="17" borderId="5" xfId="0" applyFont="1" applyFill="1" applyBorder="1" applyAlignment="1">
      <alignment horizontal="center"/>
    </xf>
    <xf numFmtId="0" fontId="4" fillId="7" borderId="17" xfId="5" applyFont="1" applyFill="1" applyBorder="1" applyAlignment="1">
      <alignment horizontal="center"/>
    </xf>
    <xf numFmtId="0" fontId="4" fillId="7" borderId="23" xfId="5" applyFont="1" applyFill="1" applyBorder="1" applyAlignment="1">
      <alignment horizontal="center"/>
    </xf>
    <xf numFmtId="0" fontId="4" fillId="7" borderId="18" xfId="5" applyFont="1" applyFill="1" applyBorder="1" applyAlignment="1">
      <alignment horizontal="center"/>
    </xf>
    <xf numFmtId="0" fontId="26" fillId="0" borderId="17" xfId="5" applyFont="1" applyBorder="1" applyAlignment="1">
      <alignment horizontal="left" vertical="center" wrapText="1"/>
    </xf>
    <xf numFmtId="0" fontId="26" fillId="0" borderId="23" xfId="5" applyFont="1" applyBorder="1" applyAlignment="1">
      <alignment horizontal="left" vertical="center" wrapText="1"/>
    </xf>
    <xf numFmtId="0" fontId="25" fillId="7" borderId="17" xfId="5" applyFont="1" applyFill="1" applyBorder="1" applyAlignment="1">
      <alignment horizontal="center" vertical="center"/>
    </xf>
    <xf numFmtId="0" fontId="25" fillId="7" borderId="18" xfId="5" applyFont="1" applyFill="1" applyBorder="1" applyAlignment="1">
      <alignment horizontal="center" vertical="center"/>
    </xf>
    <xf numFmtId="0" fontId="25" fillId="9" borderId="17" xfId="5" applyFont="1" applyFill="1" applyBorder="1" applyAlignment="1">
      <alignment horizontal="center" vertical="center" wrapText="1"/>
    </xf>
    <xf numFmtId="0" fontId="25" fillId="9" borderId="23" xfId="5" applyFont="1" applyFill="1" applyBorder="1" applyAlignment="1">
      <alignment horizontal="center" vertical="center" wrapText="1"/>
    </xf>
    <xf numFmtId="0" fontId="25" fillId="9" borderId="18" xfId="5" applyFont="1" applyFill="1" applyBorder="1" applyAlignment="1">
      <alignment horizontal="center" vertical="center" wrapText="1"/>
    </xf>
    <xf numFmtId="0" fontId="25" fillId="9" borderId="21" xfId="5" applyFont="1" applyFill="1" applyBorder="1" applyAlignment="1">
      <alignment horizontal="center" vertical="center" wrapText="1"/>
    </xf>
    <xf numFmtId="0" fontId="25" fillId="9" borderId="26" xfId="5" applyFont="1" applyFill="1" applyBorder="1" applyAlignment="1">
      <alignment horizontal="center" vertical="center" wrapText="1"/>
    </xf>
    <xf numFmtId="0" fontId="25" fillId="9" borderId="22" xfId="5" applyFont="1" applyFill="1" applyBorder="1" applyAlignment="1">
      <alignment horizontal="center" vertical="center" wrapText="1"/>
    </xf>
    <xf numFmtId="0" fontId="26" fillId="0" borderId="21" xfId="5" applyFont="1" applyBorder="1" applyAlignment="1">
      <alignment horizontal="left" vertical="center" wrapText="1"/>
    </xf>
    <xf numFmtId="0" fontId="26" fillId="0" borderId="26" xfId="5" applyFont="1" applyBorder="1" applyAlignment="1">
      <alignment horizontal="left" vertical="center" wrapText="1"/>
    </xf>
    <xf numFmtId="0" fontId="35" fillId="10" borderId="17" xfId="5" applyFont="1" applyFill="1" applyBorder="1" applyAlignment="1">
      <alignment horizontal="center" vertical="center"/>
    </xf>
    <xf numFmtId="0" fontId="35" fillId="10" borderId="23" xfId="5" applyFont="1" applyFill="1" applyBorder="1" applyAlignment="1">
      <alignment horizontal="center" vertical="center"/>
    </xf>
    <xf numFmtId="0" fontId="35" fillId="10" borderId="18" xfId="5" applyFont="1" applyFill="1" applyBorder="1" applyAlignment="1">
      <alignment horizontal="center" vertical="center"/>
    </xf>
    <xf numFmtId="0" fontId="19" fillId="11" borderId="27" xfId="5" applyFont="1" applyFill="1" applyBorder="1" applyAlignment="1">
      <alignment horizontal="center" vertical="center"/>
    </xf>
    <xf numFmtId="0" fontId="19" fillId="11" borderId="28" xfId="5" applyFont="1" applyFill="1" applyBorder="1" applyAlignment="1">
      <alignment horizontal="center" vertical="center"/>
    </xf>
    <xf numFmtId="0" fontId="19" fillId="11" borderId="29" xfId="5" applyFont="1" applyFill="1" applyBorder="1" applyAlignment="1">
      <alignment horizontal="center" vertical="center"/>
    </xf>
    <xf numFmtId="0" fontId="26" fillId="5" borderId="17" xfId="5" applyFont="1" applyFill="1" applyBorder="1" applyAlignment="1">
      <alignment horizontal="left" vertical="center" wrapText="1"/>
    </xf>
    <xf numFmtId="0" fontId="26" fillId="5" borderId="23" xfId="5" applyFont="1" applyFill="1" applyBorder="1" applyAlignment="1">
      <alignment horizontal="left" vertical="center" wrapText="1"/>
    </xf>
    <xf numFmtId="0" fontId="26" fillId="5" borderId="18" xfId="5" applyFont="1" applyFill="1" applyBorder="1" applyAlignment="1">
      <alignment horizontal="left" vertical="center" wrapText="1"/>
    </xf>
    <xf numFmtId="0" fontId="4" fillId="0" borderId="31" xfId="3" applyFont="1" applyBorder="1" applyAlignment="1">
      <alignment horizontal="center" vertical="center"/>
    </xf>
    <xf numFmtId="0" fontId="4" fillId="0" borderId="32" xfId="3" applyFont="1" applyBorder="1" applyAlignment="1">
      <alignment horizontal="center" vertical="center"/>
    </xf>
    <xf numFmtId="0" fontId="21" fillId="0" borderId="32" xfId="3" applyFont="1" applyBorder="1" applyAlignment="1">
      <alignment horizontal="center" vertical="center"/>
    </xf>
    <xf numFmtId="0" fontId="21" fillId="0" borderId="33" xfId="3" applyFont="1" applyBorder="1" applyAlignment="1">
      <alignment horizontal="center" vertical="center"/>
    </xf>
    <xf numFmtId="0" fontId="4" fillId="0" borderId="16" xfId="3" applyFont="1" applyBorder="1" applyAlignment="1">
      <alignment horizontal="center" vertical="center"/>
    </xf>
    <xf numFmtId="0" fontId="4" fillId="0" borderId="34" xfId="3" applyFont="1" applyBorder="1" applyAlignment="1">
      <alignment horizontal="center" vertical="center"/>
    </xf>
    <xf numFmtId="0" fontId="21" fillId="0" borderId="54" xfId="3" applyFont="1" applyBorder="1" applyAlignment="1">
      <alignment horizontal="center" vertical="center"/>
    </xf>
    <xf numFmtId="0" fontId="21" fillId="0" borderId="34" xfId="3" applyFont="1" applyBorder="1" applyAlignment="1">
      <alignment horizontal="center" vertical="center"/>
    </xf>
    <xf numFmtId="0" fontId="21" fillId="0" borderId="66" xfId="3" applyFont="1" applyBorder="1" applyAlignment="1">
      <alignment horizontal="center" vertical="center"/>
    </xf>
    <xf numFmtId="0" fontId="13" fillId="0" borderId="24" xfId="0" applyNumberFormat="1" applyFont="1" applyBorder="1" applyAlignment="1">
      <alignment horizontal="center" vertical="center"/>
    </xf>
    <xf numFmtId="0" fontId="13" fillId="0" borderId="0" xfId="0" applyNumberFormat="1" applyFont="1" applyBorder="1" applyAlignment="1">
      <alignment horizontal="center" vertical="center"/>
    </xf>
    <xf numFmtId="0" fontId="13" fillId="0" borderId="28" xfId="0" applyNumberFormat="1" applyFont="1" applyBorder="1" applyAlignment="1">
      <alignment horizontal="center" vertical="center"/>
    </xf>
    <xf numFmtId="0" fontId="13" fillId="0" borderId="29" xfId="0" applyNumberFormat="1" applyFont="1" applyBorder="1" applyAlignment="1">
      <alignment horizontal="center" vertical="center"/>
    </xf>
    <xf numFmtId="0" fontId="13" fillId="0" borderId="25" xfId="0" applyNumberFormat="1" applyFont="1" applyBorder="1" applyAlignment="1">
      <alignment horizontal="center" vertical="center"/>
    </xf>
    <xf numFmtId="0" fontId="13" fillId="0" borderId="21" xfId="0" applyNumberFormat="1" applyFont="1" applyBorder="1" applyAlignment="1">
      <alignment horizontal="center" vertical="center"/>
    </xf>
    <xf numFmtId="0" fontId="13" fillId="0" borderId="26" xfId="0" applyNumberFormat="1" applyFont="1" applyBorder="1" applyAlignment="1">
      <alignment horizontal="center" vertical="center"/>
    </xf>
    <xf numFmtId="0" fontId="13" fillId="0" borderId="22" xfId="0" applyNumberFormat="1" applyFont="1" applyBorder="1" applyAlignment="1">
      <alignment horizontal="center" vertical="center"/>
    </xf>
    <xf numFmtId="0" fontId="14" fillId="0" borderId="27" xfId="0" applyNumberFormat="1" applyFont="1" applyBorder="1" applyAlignment="1">
      <alignment horizontal="center" vertical="center"/>
    </xf>
    <xf numFmtId="0" fontId="14" fillId="0" borderId="29" xfId="0" applyNumberFormat="1" applyFont="1" applyBorder="1" applyAlignment="1">
      <alignment horizontal="center" vertical="center"/>
    </xf>
    <xf numFmtId="0" fontId="14" fillId="0" borderId="24" xfId="0" applyNumberFormat="1" applyFont="1" applyBorder="1" applyAlignment="1">
      <alignment horizontal="center" vertical="center"/>
    </xf>
    <xf numFmtId="0" fontId="14" fillId="0" borderId="25" xfId="0" applyNumberFormat="1" applyFont="1" applyBorder="1" applyAlignment="1">
      <alignment horizontal="center" vertical="center"/>
    </xf>
    <xf numFmtId="0" fontId="14" fillId="0" borderId="21" xfId="0" applyNumberFormat="1" applyFont="1" applyBorder="1" applyAlignment="1">
      <alignment horizontal="center" vertical="center"/>
    </xf>
    <xf numFmtId="0" fontId="14" fillId="0" borderId="22" xfId="0" applyNumberFormat="1" applyFont="1" applyBorder="1" applyAlignment="1">
      <alignment horizontal="center" vertical="center"/>
    </xf>
  </cellXfs>
  <cellStyles count="11">
    <cellStyle name="Moeda" xfId="1" builtinId="4"/>
    <cellStyle name="Moeda 2" xfId="4"/>
    <cellStyle name="Moeda 3" xfId="6"/>
    <cellStyle name="Moeda 4" xfId="7"/>
    <cellStyle name="Normal" xfId="0" builtinId="0"/>
    <cellStyle name="Normal 2" xfId="2"/>
    <cellStyle name="Normal 3" xfId="3"/>
    <cellStyle name="Normal 4" xfId="5"/>
    <cellStyle name="Normal 5" xfId="8"/>
    <cellStyle name="Porcentagem 2" xfId="9"/>
    <cellStyle name="Porcentagem 3" xfId="10"/>
  </cellStyles>
  <dxfs count="0"/>
  <tableStyles count="0" defaultTableStyle="TableStyleMedium9" defaultPivotStyle="PivotStyleLight16"/>
  <colors>
    <mruColors>
      <color rgb="FF005800"/>
      <color rgb="FF008000"/>
      <color rgb="FFFFFBEF"/>
      <color rgb="FFFFF8E1"/>
      <color rgb="FFFFE9A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5.xml.rels><?xml version="1.0" encoding="UTF-8" standalone="yes"?>
<Relationships xmlns="http://schemas.openxmlformats.org/package/2006/relationships"><Relationship Id="rId3" Type="http://schemas.microsoft.com/office/2007/relationships/hdphoto" Target="../media/hdphoto2.wdp"/><Relationship Id="rId2" Type="http://schemas.openxmlformats.org/officeDocument/2006/relationships/image" Target="../media/image5.png"/><Relationship Id="rId1" Type="http://schemas.openxmlformats.org/officeDocument/2006/relationships/image" Target="../media/image4.png"/><Relationship Id="rId4" Type="http://schemas.openxmlformats.org/officeDocument/2006/relationships/image" Target="../media/image6.jpe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jpeg"/><Relationship Id="rId2" Type="http://schemas.microsoft.com/office/2007/relationships/hdphoto" Target="../media/hdphoto2.wdp"/><Relationship Id="rId1" Type="http://schemas.openxmlformats.org/officeDocument/2006/relationships/image" Target="../media/image5.png"/></Relationships>
</file>

<file path=xl/drawings/_rels/drawing7.xml.rels><?xml version="1.0" encoding="UTF-8" standalone="yes"?>
<Relationships xmlns="http://schemas.openxmlformats.org/package/2006/relationships"><Relationship Id="rId3" Type="http://schemas.microsoft.com/office/2007/relationships/hdphoto" Target="../media/hdphoto2.wdp"/><Relationship Id="rId2" Type="http://schemas.openxmlformats.org/officeDocument/2006/relationships/image" Target="../media/image5.png"/><Relationship Id="rId1" Type="http://schemas.openxmlformats.org/officeDocument/2006/relationships/image" Target="../media/image7.png"/><Relationship Id="rId4" Type="http://schemas.openxmlformats.org/officeDocument/2006/relationships/image" Target="../media/image6.jpe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jpeg"/><Relationship Id="rId2" Type="http://schemas.microsoft.com/office/2007/relationships/hdphoto" Target="../media/hdphoto2.wdp"/><Relationship Id="rId1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740836</xdr:colOff>
      <xdr:row>7</xdr:row>
      <xdr:rowOff>126998</xdr:rowOff>
    </xdr:from>
    <xdr:to>
      <xdr:col>9</xdr:col>
      <xdr:colOff>169336</xdr:colOff>
      <xdr:row>8</xdr:row>
      <xdr:rowOff>285747</xdr:rowOff>
    </xdr:to>
    <xdr:sp macro="[0]!Limpar_preenchiment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xmlns="" id="{6F7D8EE2-7D9C-4691-9FD8-6488F6A7D4FE}"/>
            </a:ext>
          </a:extLst>
        </xdr:cNvPr>
        <xdr:cNvSpPr/>
      </xdr:nvSpPr>
      <xdr:spPr>
        <a:xfrm>
          <a:off x="5189011" y="2251073"/>
          <a:ext cx="1647825" cy="501649"/>
        </a:xfrm>
        <a:prstGeom prst="roundRect">
          <a:avLst/>
        </a:prstGeom>
        <a:ln>
          <a:solidFill>
            <a:schemeClr val="tx1">
              <a:lumMod val="95000"/>
              <a:lumOff val="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2400" b="1"/>
            <a:t>RESPOSTA</a:t>
          </a:r>
        </a:p>
      </xdr:txBody>
    </xdr:sp>
    <xdr:clientData/>
  </xdr:twoCellAnchor>
  <xdr:twoCellAnchor>
    <xdr:from>
      <xdr:col>6</xdr:col>
      <xdr:colOff>328086</xdr:colOff>
      <xdr:row>9</xdr:row>
      <xdr:rowOff>148164</xdr:rowOff>
    </xdr:from>
    <xdr:to>
      <xdr:col>9</xdr:col>
      <xdr:colOff>582086</xdr:colOff>
      <xdr:row>10</xdr:row>
      <xdr:rowOff>306913</xdr:rowOff>
    </xdr:to>
    <xdr:sp macro="[0]!Preencher_cor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xmlns="" id="{79A888F9-6BCA-4BD0-9D1F-EB2A23F32C7C}"/>
            </a:ext>
          </a:extLst>
        </xdr:cNvPr>
        <xdr:cNvSpPr/>
      </xdr:nvSpPr>
      <xdr:spPr>
        <a:xfrm>
          <a:off x="4776261" y="2958039"/>
          <a:ext cx="2473325" cy="501649"/>
        </a:xfrm>
        <a:prstGeom prst="roundRect">
          <a:avLst/>
        </a:prstGeom>
        <a:ln>
          <a:solidFill>
            <a:schemeClr val="tx1">
              <a:lumMod val="95000"/>
              <a:lumOff val="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2400" b="1"/>
            <a:t>PREENCHER COR</a:t>
          </a:r>
        </a:p>
      </xdr:txBody>
    </xdr:sp>
    <xdr:clientData/>
  </xdr:twoCellAnchor>
  <xdr:twoCellAnchor>
    <xdr:from>
      <xdr:col>6</xdr:col>
      <xdr:colOff>22457</xdr:colOff>
      <xdr:row>1</xdr:row>
      <xdr:rowOff>105833</xdr:rowOff>
    </xdr:from>
    <xdr:to>
      <xdr:col>16</xdr:col>
      <xdr:colOff>533400</xdr:colOff>
      <xdr:row>17</xdr:row>
      <xdr:rowOff>47624</xdr:rowOff>
    </xdr:to>
    <xdr:grpSp>
      <xdr:nvGrpSpPr>
        <xdr:cNvPr id="9" name="Agrupar 8">
          <a:extLst>
            <a:ext uri="{FF2B5EF4-FFF2-40B4-BE49-F238E27FC236}">
              <a16:creationId xmlns:a16="http://schemas.microsoft.com/office/drawing/2014/main" xmlns="" id="{3F4B202F-A846-4118-982F-A2F1FFF07E0B}"/>
            </a:ext>
          </a:extLst>
        </xdr:cNvPr>
        <xdr:cNvGrpSpPr/>
      </xdr:nvGrpSpPr>
      <xdr:grpSpPr>
        <a:xfrm>
          <a:off x="4480157" y="321733"/>
          <a:ext cx="7000643" cy="4983691"/>
          <a:chOff x="4470632" y="315383"/>
          <a:chExt cx="6997468" cy="4980516"/>
        </a:xfrm>
      </xdr:grpSpPr>
      <xdr:sp macro="" textlink="">
        <xdr:nvSpPr>
          <xdr:cNvPr id="2" name="CaixaDeTexto 1">
            <a:extLst>
              <a:ext uri="{FF2B5EF4-FFF2-40B4-BE49-F238E27FC236}">
                <a16:creationId xmlns:a16="http://schemas.microsoft.com/office/drawing/2014/main" xmlns="" id="{4BEE6E95-347E-49D5-B87F-BB5C50B3C0BE}"/>
              </a:ext>
            </a:extLst>
          </xdr:cNvPr>
          <xdr:cNvSpPr txBox="1"/>
        </xdr:nvSpPr>
        <xdr:spPr>
          <a:xfrm>
            <a:off x="4470632" y="315383"/>
            <a:ext cx="3261552" cy="1592792"/>
          </a:xfrm>
          <a:prstGeom prst="rect">
            <a:avLst/>
          </a:prstGeom>
          <a:solidFill>
            <a:schemeClr val="lt1"/>
          </a:solidFill>
          <a:ln w="19050" cmpd="sng">
            <a:solidFill>
              <a:sysClr val="windowText" lastClr="000000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pt-BR" sz="1600" b="1"/>
              <a:t>Aluno</a:t>
            </a:r>
          </a:p>
          <a:p>
            <a:pPr algn="ctr"/>
            <a:endParaRPr lang="pt-BR" sz="800" b="1"/>
          </a:p>
          <a:p>
            <a:pPr algn="ctr"/>
            <a:r>
              <a:rPr lang="pt-BR" sz="1200" b="0"/>
              <a:t>Questione se as</a:t>
            </a:r>
            <a:r>
              <a:rPr lang="pt-BR" sz="1200" b="0" baseline="0"/>
              <a:t> afirmações são VERDADEIRAS ou FALSAS, e verifique a correção</a:t>
            </a:r>
            <a:r>
              <a:rPr lang="pt-BR" sz="1200" b="0"/>
              <a:t> através do botão </a:t>
            </a:r>
            <a:r>
              <a:rPr lang="pt-BR" sz="1200" b="1"/>
              <a:t>RESPOSTA</a:t>
            </a:r>
            <a:r>
              <a:rPr lang="pt-BR" sz="1200" b="0"/>
              <a:t>.</a:t>
            </a:r>
          </a:p>
          <a:p>
            <a:pPr algn="ctr"/>
            <a:endParaRPr lang="pt-BR" sz="200" b="0"/>
          </a:p>
          <a:p>
            <a:pPr algn="ctr"/>
            <a:r>
              <a:rPr lang="pt-BR" sz="1200" b="0"/>
              <a:t>O botão </a:t>
            </a:r>
            <a:r>
              <a:rPr lang="pt-BR" sz="1200" b="1"/>
              <a:t>PREENCHER COR </a:t>
            </a:r>
            <a:r>
              <a:rPr lang="pt-BR" sz="1200" b="0"/>
              <a:t>serve para preencher novamente</a:t>
            </a:r>
            <a:r>
              <a:rPr lang="pt-BR" sz="1200" b="0" baseline="0"/>
              <a:t> as respostas, com a cor azul.</a:t>
            </a:r>
            <a:endParaRPr lang="pt-BR" sz="1200" b="0"/>
          </a:p>
        </xdr:txBody>
      </xdr:sp>
      <xdr:pic>
        <xdr:nvPicPr>
          <xdr:cNvPr id="8" name="Imagem 7" descr="Resultado de imagem para verdadeiro ou falso">
            <a:extLst>
              <a:ext uri="{FF2B5EF4-FFF2-40B4-BE49-F238E27FC236}">
                <a16:creationId xmlns:a16="http://schemas.microsoft.com/office/drawing/2014/main" xmlns="" id="{761A3ACD-FB0E-40B4-8B4D-F2F7A4BC1C61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 rot="668331">
            <a:off x="7820025" y="2095499"/>
            <a:ext cx="3648075" cy="320040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228600</xdr:colOff>
      <xdr:row>1</xdr:row>
      <xdr:rowOff>1731</xdr:rowOff>
    </xdr:from>
    <xdr:to>
      <xdr:col>14</xdr:col>
      <xdr:colOff>71622</xdr:colOff>
      <xdr:row>18</xdr:row>
      <xdr:rowOff>126683</xdr:rowOff>
    </xdr:to>
    <xdr:grpSp>
      <xdr:nvGrpSpPr>
        <xdr:cNvPr id="5" name="Agrupar 4">
          <a:extLst>
            <a:ext uri="{FF2B5EF4-FFF2-40B4-BE49-F238E27FC236}">
              <a16:creationId xmlns:a16="http://schemas.microsoft.com/office/drawing/2014/main" xmlns="" id="{7F96AF3E-D80F-4F0E-8D86-7A85D08C0CDE}"/>
            </a:ext>
          </a:extLst>
        </xdr:cNvPr>
        <xdr:cNvGrpSpPr/>
      </xdr:nvGrpSpPr>
      <xdr:grpSpPr>
        <a:xfrm>
          <a:off x="8813800" y="217631"/>
          <a:ext cx="2891022" cy="3630152"/>
          <a:chOff x="8783782" y="209549"/>
          <a:chExt cx="2873704" cy="3779089"/>
        </a:xfrm>
      </xdr:grpSpPr>
      <xdr:sp macro="" textlink="">
        <xdr:nvSpPr>
          <xdr:cNvPr id="3" name="CaixaDeTexto 2">
            <a:extLst>
              <a:ext uri="{FF2B5EF4-FFF2-40B4-BE49-F238E27FC236}">
                <a16:creationId xmlns:a16="http://schemas.microsoft.com/office/drawing/2014/main" xmlns="" id="{3BDB235A-9542-4D0C-A91A-D9F5CF8F51A3}"/>
              </a:ext>
            </a:extLst>
          </xdr:cNvPr>
          <xdr:cNvSpPr txBox="1"/>
        </xdr:nvSpPr>
        <xdr:spPr>
          <a:xfrm>
            <a:off x="8783782" y="209549"/>
            <a:ext cx="2567420" cy="1339561"/>
          </a:xfrm>
          <a:prstGeom prst="rect">
            <a:avLst/>
          </a:prstGeom>
          <a:solidFill>
            <a:schemeClr val="lt1"/>
          </a:solidFill>
          <a:ln w="19050" cmpd="sng">
            <a:solidFill>
              <a:sysClr val="windowText" lastClr="000000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pt-BR" sz="1600" b="1"/>
              <a:t>Aluno</a:t>
            </a:r>
          </a:p>
          <a:p>
            <a:pPr algn="ctr"/>
            <a:endParaRPr lang="pt-BR" sz="800" b="1"/>
          </a:p>
          <a:p>
            <a:pPr algn="ctr"/>
            <a:r>
              <a:rPr lang="pt-BR" sz="1200" b="0"/>
              <a:t>Analise</a:t>
            </a:r>
            <a:r>
              <a:rPr lang="pt-BR" sz="1200" b="0" baseline="0"/>
              <a:t> a tabela ao lado e defina se as condições são verdadeiras ou falsas, usando os </a:t>
            </a:r>
            <a:r>
              <a:rPr lang="pt-BR" sz="1200" b="1" baseline="0"/>
              <a:t>operadores</a:t>
            </a:r>
            <a:r>
              <a:rPr lang="pt-BR" sz="1200" b="0" baseline="0"/>
              <a:t> </a:t>
            </a:r>
            <a:r>
              <a:rPr lang="pt-BR" sz="1200" b="1" baseline="0"/>
              <a:t>lógicos</a:t>
            </a:r>
            <a:r>
              <a:rPr lang="pt-BR" sz="1200" b="0" baseline="0"/>
              <a:t> expostos em cada coluna.</a:t>
            </a:r>
            <a:endParaRPr lang="pt-BR" sz="1200" b="0"/>
          </a:p>
        </xdr:txBody>
      </xdr:sp>
      <xdr:pic>
        <xdr:nvPicPr>
          <xdr:cNvPr id="4" name="Imagem 3" descr="Resultado de imagem para verdadeiro ou falso">
            <a:extLst>
              <a:ext uri="{FF2B5EF4-FFF2-40B4-BE49-F238E27FC236}">
                <a16:creationId xmlns:a16="http://schemas.microsoft.com/office/drawing/2014/main" xmlns="" id="{E1137C6C-4A00-449B-8E7E-FECEB09E2A62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colorTemperature colorTemp="112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 rot="668331">
            <a:off x="8870014" y="1543232"/>
            <a:ext cx="2787472" cy="2445406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334818</xdr:colOff>
      <xdr:row>13</xdr:row>
      <xdr:rowOff>23050</xdr:rowOff>
    </xdr:from>
    <xdr:to>
      <xdr:col>3</xdr:col>
      <xdr:colOff>501505</xdr:colOff>
      <xdr:row>18</xdr:row>
      <xdr:rowOff>98844</xdr:rowOff>
    </xdr:to>
    <xdr:sp macro="" textlink="">
      <xdr:nvSpPr>
        <xdr:cNvPr id="16" name="Seta dobrada 15">
          <a:extLst>
            <a:ext uri="{FF2B5EF4-FFF2-40B4-BE49-F238E27FC236}">
              <a16:creationId xmlns:a16="http://schemas.microsoft.com/office/drawing/2014/main" xmlns="" id="{00000000-0008-0000-0200-000010000000}"/>
            </a:ext>
          </a:extLst>
        </xdr:cNvPr>
        <xdr:cNvSpPr/>
      </xdr:nvSpPr>
      <xdr:spPr>
        <a:xfrm rot="5400000" flipV="1">
          <a:off x="1166527" y="2354360"/>
          <a:ext cx="893506" cy="777725"/>
        </a:xfrm>
        <a:prstGeom prst="bentArrow">
          <a:avLst>
            <a:gd name="adj1" fmla="val 9779"/>
            <a:gd name="adj2" fmla="val 18877"/>
            <a:gd name="adj3" fmla="val 16837"/>
            <a:gd name="adj4" fmla="val 19487"/>
          </a:avLst>
        </a:prstGeom>
      </xdr:spPr>
      <xdr:style>
        <a:lnRef idx="1">
          <a:schemeClr val="dk1"/>
        </a:lnRef>
        <a:fillRef idx="3">
          <a:schemeClr val="dk1"/>
        </a:fillRef>
        <a:effectRef idx="2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223163</xdr:colOff>
      <xdr:row>13</xdr:row>
      <xdr:rowOff>10605</xdr:rowOff>
    </xdr:from>
    <xdr:to>
      <xdr:col>8</xdr:col>
      <xdr:colOff>435092</xdr:colOff>
      <xdr:row>18</xdr:row>
      <xdr:rowOff>96331</xdr:rowOff>
    </xdr:to>
    <xdr:sp macro="" textlink="">
      <xdr:nvSpPr>
        <xdr:cNvPr id="15" name="Seta dobrada 14">
          <a:extLst>
            <a:ext uri="{FF2B5EF4-FFF2-40B4-BE49-F238E27FC236}">
              <a16:creationId xmlns:a16="http://schemas.microsoft.com/office/drawing/2014/main" xmlns="" id="{00000000-0008-0000-0200-00000F000000}"/>
            </a:ext>
          </a:extLst>
        </xdr:cNvPr>
        <xdr:cNvSpPr/>
      </xdr:nvSpPr>
      <xdr:spPr>
        <a:xfrm rot="5400000">
          <a:off x="4127715" y="2324261"/>
          <a:ext cx="903438" cy="822966"/>
        </a:xfrm>
        <a:prstGeom prst="bentArrow">
          <a:avLst>
            <a:gd name="adj1" fmla="val 9779"/>
            <a:gd name="adj2" fmla="val 18877"/>
            <a:gd name="adj3" fmla="val 16837"/>
            <a:gd name="adj4" fmla="val 18637"/>
          </a:avLst>
        </a:prstGeom>
      </xdr:spPr>
      <xdr:style>
        <a:lnRef idx="1">
          <a:schemeClr val="dk1"/>
        </a:lnRef>
        <a:fillRef idx="3">
          <a:schemeClr val="dk1"/>
        </a:fillRef>
        <a:effectRef idx="2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533400</xdr:colOff>
      <xdr:row>0</xdr:row>
      <xdr:rowOff>152400</xdr:rowOff>
    </xdr:from>
    <xdr:to>
      <xdr:col>9</xdr:col>
      <xdr:colOff>209549</xdr:colOff>
      <xdr:row>5</xdr:row>
      <xdr:rowOff>1058</xdr:rowOff>
    </xdr:to>
    <xdr:sp macro="" textlink="">
      <xdr:nvSpPr>
        <xdr:cNvPr id="2" name="Retângulo de cantos arredondados 1">
          <a:extLst>
            <a:ext uri="{FF2B5EF4-FFF2-40B4-BE49-F238E27FC236}">
              <a16:creationId xmlns:a16="http://schemas.microsoft.com/office/drawing/2014/main" xmlns="" id="{00000000-0008-0000-0200-000002000000}"/>
            </a:ext>
          </a:extLst>
        </xdr:cNvPr>
        <xdr:cNvSpPr/>
      </xdr:nvSpPr>
      <xdr:spPr>
        <a:xfrm>
          <a:off x="809625" y="152400"/>
          <a:ext cx="4552949" cy="753533"/>
        </a:xfrm>
        <a:prstGeom prst="round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400" b="1"/>
            <a:t>HOPPY HAPPY</a:t>
          </a:r>
        </a:p>
        <a:p>
          <a:pPr algn="ctr"/>
          <a:r>
            <a:rPr lang="pt-BR" sz="1400"/>
            <a:t>Regra do</a:t>
          </a:r>
          <a:r>
            <a:rPr lang="pt-BR" sz="1400" baseline="0"/>
            <a:t> estabelecimento para entrada nos brinquedos</a:t>
          </a:r>
          <a:endParaRPr lang="pt-BR" sz="1100"/>
        </a:p>
      </xdr:txBody>
    </xdr:sp>
    <xdr:clientData/>
  </xdr:twoCellAnchor>
  <xdr:twoCellAnchor>
    <xdr:from>
      <xdr:col>3</xdr:col>
      <xdr:colOff>323851</xdr:colOff>
      <xdr:row>7</xdr:row>
      <xdr:rowOff>114299</xdr:rowOff>
    </xdr:from>
    <xdr:to>
      <xdr:col>7</xdr:col>
      <xdr:colOff>419100</xdr:colOff>
      <xdr:row>19</xdr:row>
      <xdr:rowOff>66674</xdr:rowOff>
    </xdr:to>
    <xdr:sp macro="" textlink="">
      <xdr:nvSpPr>
        <xdr:cNvPr id="8" name="Losango 7">
          <a:extLst>
            <a:ext uri="{FF2B5EF4-FFF2-40B4-BE49-F238E27FC236}">
              <a16:creationId xmlns:a16="http://schemas.microsoft.com/office/drawing/2014/main" xmlns="" id="{00000000-0008-0000-0200-000008000000}"/>
            </a:ext>
          </a:extLst>
        </xdr:cNvPr>
        <xdr:cNvSpPr/>
      </xdr:nvSpPr>
      <xdr:spPr>
        <a:xfrm>
          <a:off x="1543051" y="1343024"/>
          <a:ext cx="2533649" cy="1924050"/>
        </a:xfrm>
        <a:prstGeom prst="diamond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pt-BR" sz="1100"/>
        </a:p>
      </xdr:txBody>
    </xdr:sp>
    <xdr:clientData/>
  </xdr:twoCellAnchor>
  <xdr:twoCellAnchor>
    <xdr:from>
      <xdr:col>7</xdr:col>
      <xdr:colOff>434737</xdr:colOff>
      <xdr:row>11</xdr:row>
      <xdr:rowOff>77278</xdr:rowOff>
    </xdr:from>
    <xdr:to>
      <xdr:col>9</xdr:col>
      <xdr:colOff>329962</xdr:colOff>
      <xdr:row>13</xdr:row>
      <xdr:rowOff>10603</xdr:rowOff>
    </xdr:to>
    <xdr:sp macro="" textlink="">
      <xdr:nvSpPr>
        <xdr:cNvPr id="30" name="CaixaDeTexto 29">
          <a:extLst>
            <a:ext uri="{FF2B5EF4-FFF2-40B4-BE49-F238E27FC236}">
              <a16:creationId xmlns:a16="http://schemas.microsoft.com/office/drawing/2014/main" xmlns="" id="{00000000-0008-0000-0200-00001E000000}"/>
            </a:ext>
          </a:extLst>
        </xdr:cNvPr>
        <xdr:cNvSpPr txBox="1"/>
      </xdr:nvSpPr>
      <xdr:spPr>
        <a:xfrm>
          <a:off x="4379525" y="1973292"/>
          <a:ext cx="1117300" cy="31073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400" b="1"/>
            <a:t>Verdadeiro</a:t>
          </a:r>
        </a:p>
      </xdr:txBody>
    </xdr:sp>
    <xdr:clientData/>
  </xdr:twoCellAnchor>
  <xdr:twoCellAnchor>
    <xdr:from>
      <xdr:col>2</xdr:col>
      <xdr:colOff>158507</xdr:colOff>
      <xdr:row>11</xdr:row>
      <xdr:rowOff>58767</xdr:rowOff>
    </xdr:from>
    <xdr:to>
      <xdr:col>3</xdr:col>
      <xdr:colOff>177557</xdr:colOff>
      <xdr:row>12</xdr:row>
      <xdr:rowOff>153837</xdr:rowOff>
    </xdr:to>
    <xdr:sp macro="" textlink="">
      <xdr:nvSpPr>
        <xdr:cNvPr id="31" name="CaixaDeTexto 30">
          <a:extLst>
            <a:ext uri="{FF2B5EF4-FFF2-40B4-BE49-F238E27FC236}">
              <a16:creationId xmlns:a16="http://schemas.microsoft.com/office/drawing/2014/main" xmlns="" id="{00000000-0008-0000-0200-00001F000000}"/>
            </a:ext>
          </a:extLst>
        </xdr:cNvPr>
        <xdr:cNvSpPr txBox="1"/>
      </xdr:nvSpPr>
      <xdr:spPr>
        <a:xfrm>
          <a:off x="1048106" y="1954781"/>
          <a:ext cx="630088" cy="31073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600" b="1"/>
            <a:t>Falso</a:t>
          </a:r>
        </a:p>
      </xdr:txBody>
    </xdr:sp>
    <xdr:clientData/>
  </xdr:twoCellAnchor>
  <xdr:twoCellAnchor>
    <xdr:from>
      <xdr:col>6</xdr:col>
      <xdr:colOff>448698</xdr:colOff>
      <xdr:row>18</xdr:row>
      <xdr:rowOff>119062</xdr:rowOff>
    </xdr:from>
    <xdr:to>
      <xdr:col>11</xdr:col>
      <xdr:colOff>9526</xdr:colOff>
      <xdr:row>21</xdr:row>
      <xdr:rowOff>70380</xdr:rowOff>
    </xdr:to>
    <xdr:sp macro="" textlink="">
      <xdr:nvSpPr>
        <xdr:cNvPr id="33" name="Retângulo de cantos arredondados 32">
          <a:extLst>
            <a:ext uri="{FF2B5EF4-FFF2-40B4-BE49-F238E27FC236}">
              <a16:creationId xmlns:a16="http://schemas.microsoft.com/office/drawing/2014/main" xmlns="" id="{00000000-0008-0000-0200-000021000000}"/>
            </a:ext>
          </a:extLst>
        </xdr:cNvPr>
        <xdr:cNvSpPr/>
      </xdr:nvSpPr>
      <xdr:spPr>
        <a:xfrm>
          <a:off x="3772923" y="3214687"/>
          <a:ext cx="2608828" cy="437093"/>
        </a:xfrm>
        <a:prstGeom prst="roundRect">
          <a:avLst/>
        </a:prstGeom>
        <a:solidFill>
          <a:srgbClr val="005800"/>
        </a:solidFill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600" b="0"/>
            <a:t>Poderá entrar no brinquedo</a:t>
          </a:r>
        </a:p>
        <a:p>
          <a:pPr algn="l"/>
          <a:endParaRPr lang="pt-BR" sz="1600" b="0"/>
        </a:p>
      </xdr:txBody>
    </xdr:sp>
    <xdr:clientData/>
  </xdr:twoCellAnchor>
  <xdr:twoCellAnchor>
    <xdr:from>
      <xdr:col>1</xdr:col>
      <xdr:colOff>95248</xdr:colOff>
      <xdr:row>18</xdr:row>
      <xdr:rowOff>115358</xdr:rowOff>
    </xdr:from>
    <xdr:to>
      <xdr:col>4</xdr:col>
      <xdr:colOff>114298</xdr:colOff>
      <xdr:row>21</xdr:row>
      <xdr:rowOff>74084</xdr:rowOff>
    </xdr:to>
    <xdr:sp macro="" textlink="">
      <xdr:nvSpPr>
        <xdr:cNvPr id="34" name="Retângulo de cantos arredondados 33">
          <a:extLst>
            <a:ext uri="{FF2B5EF4-FFF2-40B4-BE49-F238E27FC236}">
              <a16:creationId xmlns:a16="http://schemas.microsoft.com/office/drawing/2014/main" xmlns="" id="{00000000-0008-0000-0200-000022000000}"/>
            </a:ext>
          </a:extLst>
        </xdr:cNvPr>
        <xdr:cNvSpPr/>
      </xdr:nvSpPr>
      <xdr:spPr>
        <a:xfrm>
          <a:off x="373809" y="3206490"/>
          <a:ext cx="1852164" cy="443962"/>
        </a:xfrm>
        <a:prstGeom prst="roundRect">
          <a:avLst/>
        </a:prstGeom>
        <a:solidFill>
          <a:srgbClr val="C00000"/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600" b="0"/>
            <a:t>Entrada bloqueada</a:t>
          </a:r>
        </a:p>
        <a:p>
          <a:pPr algn="l"/>
          <a:endParaRPr lang="pt-BR" sz="1600" b="0"/>
        </a:p>
      </xdr:txBody>
    </xdr:sp>
    <xdr:clientData/>
  </xdr:twoCellAnchor>
  <xdr:twoCellAnchor>
    <xdr:from>
      <xdr:col>3</xdr:col>
      <xdr:colOff>82305</xdr:colOff>
      <xdr:row>8</xdr:row>
      <xdr:rowOff>28575</xdr:rowOff>
    </xdr:from>
    <xdr:to>
      <xdr:col>8</xdr:col>
      <xdr:colOff>206130</xdr:colOff>
      <xdr:row>11</xdr:row>
      <xdr:rowOff>38100</xdr:rowOff>
    </xdr:to>
    <xdr:sp macro="" textlink="">
      <xdr:nvSpPr>
        <xdr:cNvPr id="35" name="CaixaDeTexto 34">
          <a:extLst>
            <a:ext uri="{FF2B5EF4-FFF2-40B4-BE49-F238E27FC236}">
              <a16:creationId xmlns:a16="http://schemas.microsoft.com/office/drawing/2014/main" xmlns="" id="{00000000-0008-0000-0200-000023000000}"/>
            </a:ext>
          </a:extLst>
        </xdr:cNvPr>
        <xdr:cNvSpPr txBox="1"/>
      </xdr:nvSpPr>
      <xdr:spPr>
        <a:xfrm>
          <a:off x="1582942" y="1421382"/>
          <a:ext cx="3179013" cy="51273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2800" b="1"/>
            <a:t>PASSAGEIRO &gt; 1,5m</a:t>
          </a:r>
        </a:p>
      </xdr:txBody>
    </xdr:sp>
    <xdr:clientData/>
  </xdr:twoCellAnchor>
  <xdr:twoCellAnchor>
    <xdr:from>
      <xdr:col>5</xdr:col>
      <xdr:colOff>371475</xdr:colOff>
      <xdr:row>5</xdr:row>
      <xdr:rowOff>1058</xdr:rowOff>
    </xdr:from>
    <xdr:to>
      <xdr:col>5</xdr:col>
      <xdr:colOff>371476</xdr:colOff>
      <xdr:row>7</xdr:row>
      <xdr:rowOff>114299</xdr:rowOff>
    </xdr:to>
    <xdr:cxnSp macro="">
      <xdr:nvCxnSpPr>
        <xdr:cNvPr id="11" name="Conector de seta reta 10">
          <a:extLst>
            <a:ext uri="{FF2B5EF4-FFF2-40B4-BE49-F238E27FC236}">
              <a16:creationId xmlns:a16="http://schemas.microsoft.com/office/drawing/2014/main" xmlns="" id="{00000000-0008-0000-0200-00000B000000}"/>
            </a:ext>
          </a:extLst>
        </xdr:cNvPr>
        <xdr:cNvCxnSpPr>
          <a:stCxn id="2" idx="2"/>
          <a:endCxn id="8" idx="0"/>
        </xdr:cNvCxnSpPr>
      </xdr:nvCxnSpPr>
      <xdr:spPr>
        <a:xfrm>
          <a:off x="3086100" y="905933"/>
          <a:ext cx="1" cy="437091"/>
        </a:xfrm>
        <a:prstGeom prst="straightConnector1">
          <a:avLst/>
        </a:prstGeom>
        <a:ln w="57150">
          <a:tailEnd type="triangle"/>
        </a:ln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63620</xdr:colOff>
      <xdr:row>9</xdr:row>
      <xdr:rowOff>67214</xdr:rowOff>
    </xdr:from>
    <xdr:to>
      <xdr:col>7</xdr:col>
      <xdr:colOff>134787</xdr:colOff>
      <xdr:row>18</xdr:row>
      <xdr:rowOff>19589</xdr:rowOff>
    </xdr:to>
    <xdr:sp macro="" textlink="">
      <xdr:nvSpPr>
        <xdr:cNvPr id="3" name="CaixaDeTexto 2">
          <a:extLst>
            <a:ext uri="{FF2B5EF4-FFF2-40B4-BE49-F238E27FC236}">
              <a16:creationId xmlns:a16="http://schemas.microsoft.com/office/drawing/2014/main" xmlns="" id="{00000000-0008-0000-0200-000003000000}"/>
            </a:ext>
          </a:extLst>
        </xdr:cNvPr>
        <xdr:cNvSpPr txBox="1"/>
      </xdr:nvSpPr>
      <xdr:spPr>
        <a:xfrm>
          <a:off x="2175295" y="1630752"/>
          <a:ext cx="1904280" cy="147996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400" b="0">
              <a:solidFill>
                <a:schemeClr val="bg1"/>
              </a:solidFill>
            </a:rPr>
            <a:t>Se o passageiro tiver &gt;1,5m</a:t>
          </a:r>
          <a:r>
            <a:rPr lang="pt-BR" sz="1400" b="0" baseline="0">
              <a:solidFill>
                <a:schemeClr val="bg1"/>
              </a:solidFill>
            </a:rPr>
            <a:t>, ele poderá andar no brinquedo.</a:t>
          </a:r>
          <a:endParaRPr lang="pt-BR" sz="1400" b="0">
            <a:solidFill>
              <a:schemeClr val="bg1"/>
            </a:solidFill>
          </a:endParaRPr>
        </a:p>
      </xdr:txBody>
    </xdr:sp>
    <xdr:clientData/>
  </xdr:twoCellAnchor>
  <xdr:twoCellAnchor>
    <xdr:from>
      <xdr:col>14</xdr:col>
      <xdr:colOff>356755</xdr:colOff>
      <xdr:row>0</xdr:row>
      <xdr:rowOff>0</xdr:rowOff>
    </xdr:from>
    <xdr:to>
      <xdr:col>24</xdr:col>
      <xdr:colOff>19053</xdr:colOff>
      <xdr:row>16</xdr:row>
      <xdr:rowOff>57099</xdr:rowOff>
    </xdr:to>
    <xdr:grpSp>
      <xdr:nvGrpSpPr>
        <xdr:cNvPr id="4" name="Agrupar 3">
          <a:extLst>
            <a:ext uri="{FF2B5EF4-FFF2-40B4-BE49-F238E27FC236}">
              <a16:creationId xmlns:a16="http://schemas.microsoft.com/office/drawing/2014/main" xmlns="" id="{8CE2EC31-C704-4FA7-8C98-DD13082CA606}"/>
            </a:ext>
          </a:extLst>
        </xdr:cNvPr>
        <xdr:cNvGrpSpPr/>
      </xdr:nvGrpSpPr>
      <xdr:grpSpPr>
        <a:xfrm>
          <a:off x="8408555" y="0"/>
          <a:ext cx="5758298" cy="2939999"/>
          <a:chOff x="8357755" y="0"/>
          <a:chExt cx="5758298" cy="2828874"/>
        </a:xfrm>
      </xdr:grpSpPr>
      <xdr:sp macro="" textlink="">
        <xdr:nvSpPr>
          <xdr:cNvPr id="13" name="CaixaDeTexto 12">
            <a:extLst>
              <a:ext uri="{FF2B5EF4-FFF2-40B4-BE49-F238E27FC236}">
                <a16:creationId xmlns:a16="http://schemas.microsoft.com/office/drawing/2014/main" xmlns="" id="{EB026DC7-A315-435F-BB05-90150D49BADC}"/>
              </a:ext>
            </a:extLst>
          </xdr:cNvPr>
          <xdr:cNvSpPr txBox="1"/>
        </xdr:nvSpPr>
        <xdr:spPr>
          <a:xfrm>
            <a:off x="8357755" y="523876"/>
            <a:ext cx="2834120" cy="990600"/>
          </a:xfrm>
          <a:prstGeom prst="rect">
            <a:avLst/>
          </a:prstGeom>
          <a:solidFill>
            <a:schemeClr val="lt1"/>
          </a:solidFill>
          <a:ln w="19050" cmpd="sng">
            <a:solidFill>
              <a:sysClr val="windowText" lastClr="000000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pt-BR" sz="1600" b="1"/>
              <a:t>Aluno</a:t>
            </a:r>
          </a:p>
          <a:p>
            <a:pPr algn="ctr"/>
            <a:endParaRPr lang="pt-BR" sz="800" b="1"/>
          </a:p>
          <a:p>
            <a:pPr algn="ctr"/>
            <a:r>
              <a:rPr lang="pt-BR" sz="1200" b="0" baseline="0"/>
              <a:t>Verifique se você poderá entrar no brinquedo. Isso dependerá da sua altura.</a:t>
            </a:r>
            <a:endParaRPr lang="pt-BR" sz="1200" b="0"/>
          </a:p>
        </xdr:txBody>
      </xdr:sp>
      <xdr:pic>
        <xdr:nvPicPr>
          <xdr:cNvPr id="14" name="Imagem 13" descr="Resultado de imagem para brinquedo de parque png">
            <a:extLst>
              <a:ext uri="{FF2B5EF4-FFF2-40B4-BE49-F238E27FC236}">
                <a16:creationId xmlns:a16="http://schemas.microsoft.com/office/drawing/2014/main" xmlns="" id="{4EF6B95A-93A1-475A-B36D-2E63EF55588D}"/>
              </a:ext>
            </a:extLst>
          </xdr:cNvPr>
          <xdr:cNvPicPr>
            <a:picLocks noChangeAspect="1" noChangeArrowheads="1"/>
          </xdr:cNvPicPr>
        </xdr:nvPicPr>
        <xdr:blipFill rotWithShape="1">
          <a:blip xmlns:r="http://schemas.openxmlformats.org/officeDocument/2006/relationships" r:embed="rId1">
            <a:clrChange>
              <a:clrFrom>
                <a:srgbClr val="FFFFFF"/>
              </a:clrFrom>
              <a:clrTo>
                <a:srgbClr val="FFFFFF">
                  <a:alpha val="0"/>
                </a:srgbClr>
              </a:clrTo>
            </a:clrChang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t="1344"/>
          <a:stretch/>
        </xdr:blipFill>
        <xdr:spPr bwMode="auto">
          <a:xfrm rot="16200000">
            <a:off x="11477652" y="190473"/>
            <a:ext cx="2828874" cy="2447928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576748</xdr:colOff>
      <xdr:row>3</xdr:row>
      <xdr:rowOff>32053</xdr:rowOff>
    </xdr:from>
    <xdr:to>
      <xdr:col>15</xdr:col>
      <xdr:colOff>46460</xdr:colOff>
      <xdr:row>19</xdr:row>
      <xdr:rowOff>43432</xdr:rowOff>
    </xdr:to>
    <xdr:grpSp>
      <xdr:nvGrpSpPr>
        <xdr:cNvPr id="5" name="Agrupar 4">
          <a:extLst>
            <a:ext uri="{FF2B5EF4-FFF2-40B4-BE49-F238E27FC236}">
              <a16:creationId xmlns:a16="http://schemas.microsoft.com/office/drawing/2014/main" xmlns="" id="{92BE6043-440C-465B-B126-E1A4E8ABF175}"/>
            </a:ext>
          </a:extLst>
        </xdr:cNvPr>
        <xdr:cNvGrpSpPr/>
      </xdr:nvGrpSpPr>
      <xdr:grpSpPr>
        <a:xfrm>
          <a:off x="6647348" y="908353"/>
          <a:ext cx="5603812" cy="3186379"/>
          <a:chOff x="6651365" y="761006"/>
          <a:chExt cx="5631803" cy="3228496"/>
        </a:xfrm>
      </xdr:grpSpPr>
      <xdr:grpSp>
        <xdr:nvGrpSpPr>
          <xdr:cNvPr id="13" name="Grupo 12">
            <a:extLst>
              <a:ext uri="{FF2B5EF4-FFF2-40B4-BE49-F238E27FC236}">
                <a16:creationId xmlns:a16="http://schemas.microsoft.com/office/drawing/2014/main" xmlns="" id="{00000000-0008-0000-0300-00000D000000}"/>
              </a:ext>
            </a:extLst>
          </xdr:cNvPr>
          <xdr:cNvGrpSpPr/>
        </xdr:nvGrpSpPr>
        <xdr:grpSpPr>
          <a:xfrm>
            <a:off x="6651365" y="761006"/>
            <a:ext cx="5631803" cy="3228496"/>
            <a:chOff x="4653254" y="681945"/>
            <a:chExt cx="5605320" cy="2648811"/>
          </a:xfrm>
        </xdr:grpSpPr>
        <xdr:sp macro="" textlink="">
          <xdr:nvSpPr>
            <xdr:cNvPr id="12" name="Seta dobrada 11">
              <a:extLst>
                <a:ext uri="{FF2B5EF4-FFF2-40B4-BE49-F238E27FC236}">
                  <a16:creationId xmlns:a16="http://schemas.microsoft.com/office/drawing/2014/main" xmlns="" id="{00000000-0008-0000-0300-00000C000000}"/>
                </a:ext>
              </a:extLst>
            </xdr:cNvPr>
            <xdr:cNvSpPr/>
          </xdr:nvSpPr>
          <xdr:spPr>
            <a:xfrm rot="5400000">
              <a:off x="8538534" y="1927359"/>
              <a:ext cx="1039716" cy="914340"/>
            </a:xfrm>
            <a:prstGeom prst="bentArrow">
              <a:avLst>
                <a:gd name="adj1" fmla="val 17942"/>
                <a:gd name="adj2" fmla="val 20918"/>
                <a:gd name="adj3" fmla="val 16837"/>
                <a:gd name="adj4" fmla="val 39668"/>
              </a:avLst>
            </a:prstGeom>
          </xdr:spPr>
          <xdr:style>
            <a:lnRef idx="1">
              <a:schemeClr val="dk1"/>
            </a:lnRef>
            <a:fillRef idx="3">
              <a:schemeClr val="dk1"/>
            </a:fillRef>
            <a:effectRef idx="2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>
                <a:solidFill>
                  <a:schemeClr val="tx1"/>
                </a:solidFill>
              </a:endParaRPr>
            </a:p>
          </xdr:txBody>
        </xdr:sp>
        <xdr:sp macro="" textlink="">
          <xdr:nvSpPr>
            <xdr:cNvPr id="11" name="Seta dobrada 10">
              <a:extLst>
                <a:ext uri="{FF2B5EF4-FFF2-40B4-BE49-F238E27FC236}">
                  <a16:creationId xmlns:a16="http://schemas.microsoft.com/office/drawing/2014/main" xmlns="" id="{00000000-0008-0000-0300-00000B000000}"/>
                </a:ext>
              </a:extLst>
            </xdr:cNvPr>
            <xdr:cNvSpPr/>
          </xdr:nvSpPr>
          <xdr:spPr>
            <a:xfrm rot="16200000" flipH="1">
              <a:off x="4942073" y="1923371"/>
              <a:ext cx="1031739" cy="914340"/>
            </a:xfrm>
            <a:prstGeom prst="bentArrow">
              <a:avLst>
                <a:gd name="adj1" fmla="val 17942"/>
                <a:gd name="adj2" fmla="val 20918"/>
                <a:gd name="adj3" fmla="val 16837"/>
                <a:gd name="adj4" fmla="val 39668"/>
              </a:avLst>
            </a:prstGeom>
          </xdr:spPr>
          <xdr:style>
            <a:lnRef idx="1">
              <a:schemeClr val="dk1"/>
            </a:lnRef>
            <a:fillRef idx="3">
              <a:schemeClr val="dk1"/>
            </a:fillRef>
            <a:effectRef idx="2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>
                <a:solidFill>
                  <a:schemeClr val="tx1"/>
                </a:solidFill>
              </a:endParaRPr>
            </a:p>
          </xdr:txBody>
        </xdr:sp>
        <xdr:grpSp>
          <xdr:nvGrpSpPr>
            <xdr:cNvPr id="2" name="Grupo 1">
              <a:extLst>
                <a:ext uri="{FF2B5EF4-FFF2-40B4-BE49-F238E27FC236}">
                  <a16:creationId xmlns:a16="http://schemas.microsoft.com/office/drawing/2014/main" xmlns="" id="{00000000-0008-0000-0300-000002000000}"/>
                </a:ext>
              </a:extLst>
            </xdr:cNvPr>
            <xdr:cNvGrpSpPr/>
          </xdr:nvGrpSpPr>
          <xdr:grpSpPr>
            <a:xfrm>
              <a:off x="4653254" y="681945"/>
              <a:ext cx="5605320" cy="2648811"/>
              <a:chOff x="8758529" y="1069143"/>
              <a:chExt cx="5605320" cy="2615282"/>
            </a:xfrm>
          </xdr:grpSpPr>
          <xdr:sp macro="" textlink="">
            <xdr:nvSpPr>
              <xdr:cNvPr id="7" name="Losango 6">
                <a:extLst>
                  <a:ext uri="{FF2B5EF4-FFF2-40B4-BE49-F238E27FC236}">
                    <a16:creationId xmlns:a16="http://schemas.microsoft.com/office/drawing/2014/main" xmlns="" id="{00000000-0008-0000-0300-000007000000}"/>
                  </a:ext>
                </a:extLst>
              </xdr:cNvPr>
              <xdr:cNvSpPr/>
            </xdr:nvSpPr>
            <xdr:spPr>
              <a:xfrm>
                <a:off x="9848848" y="1069143"/>
                <a:ext cx="3028951" cy="2478203"/>
              </a:xfrm>
              <a:prstGeom prst="diamond">
                <a:avLst/>
              </a:prstGeom>
            </xdr:spPr>
            <xdr:style>
              <a:lnRef idx="1">
                <a:schemeClr val="accent1"/>
              </a:lnRef>
              <a:fillRef idx="3">
                <a:schemeClr val="accent1"/>
              </a:fillRef>
              <a:effectRef idx="2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ctr"/>
                <a:endParaRPr lang="pt-BR" sz="1800"/>
              </a:p>
            </xdr:txBody>
          </xdr:sp>
          <xdr:sp macro="" textlink="">
            <xdr:nvSpPr>
              <xdr:cNvPr id="3" name="Retângulo de cantos arredondados 2">
                <a:extLst>
                  <a:ext uri="{FF2B5EF4-FFF2-40B4-BE49-F238E27FC236}">
                    <a16:creationId xmlns:a16="http://schemas.microsoft.com/office/drawing/2014/main" xmlns="" id="{00000000-0008-0000-0300-000003000000}"/>
                  </a:ext>
                </a:extLst>
              </xdr:cNvPr>
              <xdr:cNvSpPr/>
            </xdr:nvSpPr>
            <xdr:spPr>
              <a:xfrm>
                <a:off x="12573149" y="3323257"/>
                <a:ext cx="1790700" cy="361108"/>
              </a:xfrm>
              <a:prstGeom prst="roundRect">
                <a:avLst/>
              </a:prstGeom>
              <a:solidFill>
                <a:srgbClr val="FF0000"/>
              </a:solidFill>
              <a:ln>
                <a:noFill/>
              </a:ln>
            </xdr:spPr>
            <xdr:style>
              <a:lnRef idx="1">
                <a:schemeClr val="accent2"/>
              </a:lnRef>
              <a:fillRef idx="3">
                <a:schemeClr val="accent2"/>
              </a:fillRef>
              <a:effectRef idx="2">
                <a:schemeClr val="accent2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r>
                  <a:rPr lang="pt-BR" sz="1600"/>
                  <a:t>Estoque</a:t>
                </a:r>
                <a:r>
                  <a:rPr lang="pt-BR" sz="1600" baseline="0"/>
                  <a:t> está baixo</a:t>
                </a:r>
                <a:endParaRPr lang="pt-BR" sz="1600"/>
              </a:p>
            </xdr:txBody>
          </xdr:sp>
          <xdr:sp macro="" textlink="">
            <xdr:nvSpPr>
              <xdr:cNvPr id="4" name="Retângulo de cantos arredondados 3">
                <a:extLst>
                  <a:ext uri="{FF2B5EF4-FFF2-40B4-BE49-F238E27FC236}">
                    <a16:creationId xmlns:a16="http://schemas.microsoft.com/office/drawing/2014/main" xmlns="" id="{00000000-0008-0000-0300-000004000000}"/>
                  </a:ext>
                </a:extLst>
              </xdr:cNvPr>
              <xdr:cNvSpPr/>
            </xdr:nvSpPr>
            <xdr:spPr>
              <a:xfrm>
                <a:off x="8758529" y="3323197"/>
                <a:ext cx="1157554" cy="361228"/>
              </a:xfrm>
              <a:prstGeom prst="roundRect">
                <a:avLst/>
              </a:prstGeom>
              <a:solidFill>
                <a:srgbClr val="008000"/>
              </a:solidFill>
              <a:ln>
                <a:noFill/>
              </a:ln>
            </xdr:spPr>
            <xdr:style>
              <a:lnRef idx="1">
                <a:schemeClr val="accent6"/>
              </a:lnRef>
              <a:fillRef idx="3">
                <a:schemeClr val="accent6"/>
              </a:fillRef>
              <a:effectRef idx="2">
                <a:schemeClr val="accent6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ctr"/>
                <a:r>
                  <a:rPr lang="pt-BR" sz="1600"/>
                  <a:t>OK</a:t>
                </a:r>
              </a:p>
              <a:p>
                <a:pPr algn="ctr"/>
                <a:endParaRPr lang="pt-BR" sz="1600"/>
              </a:p>
            </xdr:txBody>
          </xdr:sp>
          <xdr:sp macro="" textlink="">
            <xdr:nvSpPr>
              <xdr:cNvPr id="8" name="CaixaDeTexto 7">
                <a:extLst>
                  <a:ext uri="{FF2B5EF4-FFF2-40B4-BE49-F238E27FC236}">
                    <a16:creationId xmlns:a16="http://schemas.microsoft.com/office/drawing/2014/main" xmlns="" id="{00000000-0008-0000-0300-000008000000}"/>
                  </a:ext>
                </a:extLst>
              </xdr:cNvPr>
              <xdr:cNvSpPr txBox="1"/>
            </xdr:nvSpPr>
            <xdr:spPr>
              <a:xfrm>
                <a:off x="12852347" y="1962659"/>
                <a:ext cx="1140697" cy="338447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spAutoFit/>
              </a:bodyPr>
              <a:lstStyle/>
              <a:p>
                <a:r>
                  <a:rPr lang="pt-BR" sz="1600" b="1"/>
                  <a:t>Verdadeiro</a:t>
                </a:r>
              </a:p>
            </xdr:txBody>
          </xdr:sp>
          <xdr:sp macro="" textlink="">
            <xdr:nvSpPr>
              <xdr:cNvPr id="9" name="CaixaDeTexto 8">
                <a:extLst>
                  <a:ext uri="{FF2B5EF4-FFF2-40B4-BE49-F238E27FC236}">
                    <a16:creationId xmlns:a16="http://schemas.microsoft.com/office/drawing/2014/main" xmlns="" id="{00000000-0008-0000-0300-000009000000}"/>
                  </a:ext>
                </a:extLst>
              </xdr:cNvPr>
              <xdr:cNvSpPr txBox="1"/>
            </xdr:nvSpPr>
            <xdr:spPr>
              <a:xfrm>
                <a:off x="9130612" y="1990992"/>
                <a:ext cx="622735" cy="338447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spAutoFit/>
              </a:bodyPr>
              <a:lstStyle/>
              <a:p>
                <a:r>
                  <a:rPr lang="pt-BR" sz="1600" b="1"/>
                  <a:t>Falso</a:t>
                </a:r>
              </a:p>
            </xdr:txBody>
          </xdr:sp>
        </xdr:grpSp>
        <xdr:sp macro="" textlink="">
          <xdr:nvSpPr>
            <xdr:cNvPr id="10" name="CaixaDeTexto 9">
              <a:extLst>
                <a:ext uri="{FF2B5EF4-FFF2-40B4-BE49-F238E27FC236}">
                  <a16:creationId xmlns:a16="http://schemas.microsoft.com/office/drawing/2014/main" xmlns="" id="{00000000-0008-0000-0300-00000A000000}"/>
                </a:ext>
              </a:extLst>
            </xdr:cNvPr>
            <xdr:cNvSpPr txBox="1"/>
          </xdr:nvSpPr>
          <xdr:spPr>
            <a:xfrm>
              <a:off x="5920084" y="1148852"/>
              <a:ext cx="2714625" cy="162794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pt-BR" sz="1600">
                  <a:solidFill>
                    <a:schemeClr val="bg1"/>
                  </a:solidFill>
                  <a:effectLst/>
                  <a:latin typeface="+mn-lt"/>
                  <a:ea typeface="+mn-ea"/>
                  <a:cs typeface="+mn-cs"/>
                </a:rPr>
                <a:t>SE a </a:t>
              </a:r>
            </a:p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pt-BR" sz="1600">
                  <a:solidFill>
                    <a:schemeClr val="bg1"/>
                  </a:solidFill>
                  <a:effectLst/>
                  <a:latin typeface="+mn-lt"/>
                  <a:ea typeface="+mn-ea"/>
                  <a:cs typeface="+mn-cs"/>
                </a:rPr>
                <a:t>quantidade</a:t>
              </a:r>
              <a:r>
                <a:rPr lang="pt-BR" sz="1600" baseline="0">
                  <a:solidFill>
                    <a:schemeClr val="bg1"/>
                  </a:solidFill>
                  <a:effectLst/>
                  <a:latin typeface="+mn-lt"/>
                  <a:ea typeface="+mn-ea"/>
                  <a:cs typeface="+mn-cs"/>
                </a:rPr>
                <a:t> em</a:t>
              </a:r>
            </a:p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pt-BR" sz="1600" baseline="0">
                  <a:solidFill>
                    <a:schemeClr val="bg1"/>
                  </a:solidFill>
                  <a:effectLst/>
                  <a:latin typeface="+mn-lt"/>
                  <a:ea typeface="+mn-ea"/>
                  <a:cs typeface="+mn-cs"/>
                </a:rPr>
                <a:t> estoque do produto for menor que 5, deverá mostrar a mensagem "</a:t>
              </a:r>
              <a:r>
                <a:rPr lang="pt-BR" sz="1600" b="1" baseline="0">
                  <a:solidFill>
                    <a:schemeClr val="bg1"/>
                  </a:solidFill>
                  <a:effectLst/>
                  <a:latin typeface="+mn-lt"/>
                  <a:ea typeface="+mn-ea"/>
                  <a:cs typeface="+mn-cs"/>
                </a:rPr>
                <a:t>Estoque</a:t>
              </a:r>
            </a:p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pt-BR" sz="1600" b="1" baseline="0">
                  <a:solidFill>
                    <a:schemeClr val="bg1"/>
                  </a:solidFill>
                  <a:effectLst/>
                  <a:latin typeface="+mn-lt"/>
                  <a:ea typeface="+mn-ea"/>
                  <a:cs typeface="+mn-cs"/>
                </a:rPr>
                <a:t> está baixo</a:t>
              </a:r>
              <a:r>
                <a:rPr lang="pt-BR" sz="1600" baseline="0">
                  <a:solidFill>
                    <a:schemeClr val="bg1"/>
                  </a:solidFill>
                  <a:effectLst/>
                  <a:latin typeface="+mn-lt"/>
                  <a:ea typeface="+mn-ea"/>
                  <a:cs typeface="+mn-cs"/>
                </a:rPr>
                <a:t>", senão </a:t>
              </a:r>
            </a:p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pt-BR" sz="1600" baseline="0">
                  <a:solidFill>
                    <a:schemeClr val="bg1"/>
                  </a:solidFill>
                  <a:effectLst/>
                  <a:latin typeface="+mn-lt"/>
                  <a:ea typeface="+mn-ea"/>
                  <a:cs typeface="+mn-cs"/>
                </a:rPr>
                <a:t>mostrar "</a:t>
              </a:r>
              <a:r>
                <a:rPr lang="pt-BR" sz="1600" b="1" baseline="0">
                  <a:solidFill>
                    <a:schemeClr val="bg1"/>
                  </a:solidFill>
                  <a:effectLst/>
                  <a:latin typeface="+mn-lt"/>
                  <a:ea typeface="+mn-ea"/>
                  <a:cs typeface="+mn-cs"/>
                </a:rPr>
                <a:t>OK</a:t>
              </a:r>
              <a:r>
                <a:rPr lang="pt-BR" sz="1600" baseline="0">
                  <a:solidFill>
                    <a:schemeClr val="bg1"/>
                  </a:solidFill>
                  <a:effectLst/>
                  <a:latin typeface="+mn-lt"/>
                  <a:ea typeface="+mn-ea"/>
                  <a:cs typeface="+mn-cs"/>
                </a:rPr>
                <a:t>"</a:t>
              </a:r>
              <a:endParaRPr lang="pt-BR" sz="1600">
                <a:solidFill>
                  <a:schemeClr val="bg1"/>
                </a:solidFill>
                <a:effectLst/>
              </a:endParaRPr>
            </a:p>
          </xdr:txBody>
        </xdr:sp>
      </xdr:grpSp>
      <xdr:sp macro="" textlink="">
        <xdr:nvSpPr>
          <xdr:cNvPr id="14" name="CaixaDeTexto 13">
            <a:extLst>
              <a:ext uri="{FF2B5EF4-FFF2-40B4-BE49-F238E27FC236}">
                <a16:creationId xmlns:a16="http://schemas.microsoft.com/office/drawing/2014/main" xmlns="" id="{00000000-0008-0000-0300-00000E000000}"/>
              </a:ext>
            </a:extLst>
          </xdr:cNvPr>
          <xdr:cNvSpPr txBox="1"/>
        </xdr:nvSpPr>
        <xdr:spPr>
          <a:xfrm>
            <a:off x="10704156" y="2389220"/>
            <a:ext cx="625457" cy="40771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pt-BR" sz="1600" b="1"/>
              <a:t>Sim</a:t>
            </a:r>
          </a:p>
        </xdr:txBody>
      </xdr:sp>
      <xdr:sp macro="" textlink="">
        <xdr:nvSpPr>
          <xdr:cNvPr id="15" name="CaixaDeTexto 14">
            <a:extLst>
              <a:ext uri="{FF2B5EF4-FFF2-40B4-BE49-F238E27FC236}">
                <a16:creationId xmlns:a16="http://schemas.microsoft.com/office/drawing/2014/main" xmlns="" id="{00000000-0008-0000-0300-00000F000000}"/>
              </a:ext>
            </a:extLst>
          </xdr:cNvPr>
          <xdr:cNvSpPr txBox="1"/>
        </xdr:nvSpPr>
        <xdr:spPr>
          <a:xfrm>
            <a:off x="7356799" y="2389220"/>
            <a:ext cx="625456" cy="40771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pt-BR" sz="1600" b="1"/>
              <a:t>Não</a:t>
            </a: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213880</xdr:colOff>
      <xdr:row>5</xdr:row>
      <xdr:rowOff>0</xdr:rowOff>
    </xdr:from>
    <xdr:to>
      <xdr:col>13</xdr:col>
      <xdr:colOff>447675</xdr:colOff>
      <xdr:row>43</xdr:row>
      <xdr:rowOff>142875</xdr:rowOff>
    </xdr:to>
    <xdr:grpSp>
      <xdr:nvGrpSpPr>
        <xdr:cNvPr id="13" name="Agrupar 12">
          <a:extLst>
            <a:ext uri="{FF2B5EF4-FFF2-40B4-BE49-F238E27FC236}">
              <a16:creationId xmlns:a16="http://schemas.microsoft.com/office/drawing/2014/main" xmlns="" id="{E13E7539-E543-4026-B2D8-1FA85F05B672}"/>
            </a:ext>
          </a:extLst>
        </xdr:cNvPr>
        <xdr:cNvGrpSpPr/>
      </xdr:nvGrpSpPr>
      <xdr:grpSpPr>
        <a:xfrm>
          <a:off x="5408180" y="1308100"/>
          <a:ext cx="3891395" cy="6518275"/>
          <a:chOff x="5395480" y="1285875"/>
          <a:chExt cx="3891395" cy="6400800"/>
        </a:xfrm>
      </xdr:grpSpPr>
      <xdr:sp macro="" textlink="">
        <xdr:nvSpPr>
          <xdr:cNvPr id="12" name="CaixaDeTexto 11">
            <a:extLst>
              <a:ext uri="{FF2B5EF4-FFF2-40B4-BE49-F238E27FC236}">
                <a16:creationId xmlns:a16="http://schemas.microsoft.com/office/drawing/2014/main" xmlns="" id="{6E6BC21D-A549-4781-8E53-9955D3243C28}"/>
              </a:ext>
            </a:extLst>
          </xdr:cNvPr>
          <xdr:cNvSpPr txBox="1"/>
        </xdr:nvSpPr>
        <xdr:spPr>
          <a:xfrm>
            <a:off x="5395480" y="1285875"/>
            <a:ext cx="3824720" cy="3371850"/>
          </a:xfrm>
          <a:prstGeom prst="rect">
            <a:avLst/>
          </a:prstGeom>
          <a:solidFill>
            <a:schemeClr val="lt1"/>
          </a:solidFill>
          <a:ln w="19050" cmpd="sng">
            <a:solidFill>
              <a:sysClr val="windowText" lastClr="000000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pt-BR" sz="1600" b="1"/>
              <a:t>Aluno</a:t>
            </a:r>
          </a:p>
          <a:p>
            <a:pPr algn="ctr"/>
            <a:endParaRPr lang="pt-BR" sz="800" b="1"/>
          </a:p>
          <a:p>
            <a:r>
              <a:rPr lang="pt-BR" sz="1100" b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Preencha as colunas "Situação 1"</a:t>
            </a:r>
            <a:r>
              <a:rPr lang="pt-BR" sz="1100" b="0" baseline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 e "Situação 2" com base nos critérios dados abaixo: </a:t>
            </a:r>
            <a:endParaRPr lang="pt-BR" sz="1200">
              <a:effectLst/>
            </a:endParaRPr>
          </a:p>
          <a:p>
            <a:endParaRPr lang="pt-BR" sz="1100" b="1" u="sng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endParaRPr>
          </a:p>
          <a:p>
            <a:r>
              <a:rPr lang="pt-BR" sz="1100" b="1" u="sng" baseline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Situação 1</a:t>
            </a:r>
            <a:endParaRPr lang="pt-BR" sz="1200">
              <a:effectLst/>
            </a:endParaRPr>
          </a:p>
          <a:p>
            <a:pPr eaLnBrk="1" fontAlgn="auto" latinLnBrk="0" hangingPunct="1"/>
            <a:r>
              <a:rPr lang="en-US" sz="1100" b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Se o funcionário  cumpriu a meta, deverá</a:t>
            </a:r>
            <a:r>
              <a:rPr lang="en-US" sz="1100" b="0" baseline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 aparecer  a mensagem "</a:t>
            </a:r>
            <a:r>
              <a:rPr lang="en-US" sz="1100" b="1" baseline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Cumpriu</a:t>
            </a:r>
            <a:r>
              <a:rPr lang="en-US" sz="1100" b="0" baseline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", caso contrário, deverá aparecer "</a:t>
            </a:r>
            <a:r>
              <a:rPr lang="en-US" sz="1100" b="1" baseline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Não cumpriu</a:t>
            </a:r>
            <a:r>
              <a:rPr lang="en-US" sz="1100" b="0" baseline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".</a:t>
            </a:r>
            <a:endParaRPr lang="pt-BR" sz="1200">
              <a:effectLst/>
            </a:endParaRPr>
          </a:p>
          <a:p>
            <a:pPr eaLnBrk="1" fontAlgn="auto" latinLnBrk="0" hangingPunct="1"/>
            <a:endParaRPr lang="pt-BR" sz="1100" b="1" u="sng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endParaRPr>
          </a:p>
          <a:p>
            <a:pPr eaLnBrk="1" fontAlgn="auto" latinLnBrk="0" hangingPunct="1"/>
            <a:r>
              <a:rPr lang="pt-BR" sz="1100" b="1" u="sng" baseline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Situação 2</a:t>
            </a:r>
            <a:endParaRPr lang="pt-BR" sz="1200">
              <a:effectLst/>
            </a:endParaRPr>
          </a:p>
          <a:p>
            <a:r>
              <a:rPr lang="en-US" sz="1100" b="0" baseline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Se o funcionário não atingiu pelo menos 20% da meta, deverá aparecer a mensagem "</a:t>
            </a:r>
            <a:r>
              <a:rPr lang="en-US" sz="1100" b="1" baseline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Advertência</a:t>
            </a:r>
            <a:r>
              <a:rPr lang="en-US" sz="1100" b="0" baseline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", caso contrário, não deverá aparecer nada.</a:t>
            </a:r>
            <a:endParaRPr lang="pt-BR" sz="1200">
              <a:effectLst/>
            </a:endParaRPr>
          </a:p>
          <a:p>
            <a:endParaRPr lang="en-US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endParaRPr>
          </a:p>
          <a:p>
            <a:r>
              <a:rPr lang="en-US" sz="1100" b="1" baseline="0">
                <a:solidFill>
                  <a:srgbClr val="FF0000"/>
                </a:solidFill>
                <a:effectLst/>
                <a:latin typeface="+mn-lt"/>
                <a:ea typeface="+mn-ea"/>
                <a:cs typeface="+mn-cs"/>
              </a:rPr>
              <a:t>Obs.: </a:t>
            </a:r>
            <a:r>
              <a:rPr lang="en-US" sz="1100" b="0" baseline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A meta pode variar mensalmente, então insira a função com o uso das referências de forma que não precise refazer a função a cada mês.</a:t>
            </a:r>
            <a:endParaRPr lang="pt-BR" sz="1200">
              <a:effectLst/>
            </a:endParaRPr>
          </a:p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lang="pt-BR" sz="1200">
              <a:effectLst/>
            </a:endParaRPr>
          </a:p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lang="pt-BR" sz="1200">
              <a:effectLst/>
            </a:endParaRPr>
          </a:p>
          <a:p>
            <a:pPr algn="l"/>
            <a:endParaRPr lang="pt-BR" sz="1200" b="0"/>
          </a:p>
        </xdr:txBody>
      </xdr:sp>
      <xdr:pic>
        <xdr:nvPicPr>
          <xdr:cNvPr id="11" name="Imagem 10" descr="Resultado de imagem para meta de venda png">
            <a:extLst>
              <a:ext uri="{FF2B5EF4-FFF2-40B4-BE49-F238E27FC236}">
                <a16:creationId xmlns:a16="http://schemas.microsoft.com/office/drawing/2014/main" xmlns="" id="{6F892609-83C4-46D9-B6C7-3E02C0CAD985}"/>
              </a:ext>
            </a:extLst>
          </xdr:cNvPr>
          <xdr:cNvPicPr>
            <a:picLocks noChangeAspect="1" noChangeArrowheads="1"/>
          </xdr:cNvPicPr>
        </xdr:nvPicPr>
        <xdr:blipFill rotWithShape="1">
          <a:blip xmlns:r="http://schemas.openxmlformats.org/officeDocument/2006/relationships" r:embed="rId1" cstate="print">
            <a:clrChange>
              <a:clrFrom>
                <a:srgbClr val="EAEDEF"/>
              </a:clrFrom>
              <a:clrTo>
                <a:srgbClr val="EAEDEF">
                  <a:alpha val="0"/>
                </a:srgbClr>
              </a:clrTo>
            </a:clrChang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11615" t="5807" r="8463" b="5975"/>
          <a:stretch/>
        </xdr:blipFill>
        <xdr:spPr bwMode="auto">
          <a:xfrm>
            <a:off x="6083406" y="4419600"/>
            <a:ext cx="3203469" cy="3267075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>
    <xdr:from>
      <xdr:col>2</xdr:col>
      <xdr:colOff>0</xdr:colOff>
      <xdr:row>2</xdr:row>
      <xdr:rowOff>28575</xdr:rowOff>
    </xdr:from>
    <xdr:to>
      <xdr:col>13</xdr:col>
      <xdr:colOff>450546</xdr:colOff>
      <xdr:row>2</xdr:row>
      <xdr:rowOff>774396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xmlns="" id="{1283847B-90EC-4DDD-A7B6-0E3718B57641}"/>
            </a:ext>
          </a:extLst>
        </xdr:cNvPr>
        <xdr:cNvGrpSpPr/>
      </xdr:nvGrpSpPr>
      <xdr:grpSpPr>
        <a:xfrm>
          <a:off x="292100" y="231775"/>
          <a:ext cx="9010346" cy="745821"/>
          <a:chOff x="295275" y="219075"/>
          <a:chExt cx="8994471" cy="745821"/>
        </a:xfrm>
      </xdr:grpSpPr>
      <xdr:cxnSp macro="">
        <xdr:nvCxnSpPr>
          <xdr:cNvPr id="3" name="Conector de seta reta 1">
            <a:extLst>
              <a:ext uri="{FF2B5EF4-FFF2-40B4-BE49-F238E27FC236}">
                <a16:creationId xmlns:a16="http://schemas.microsoft.com/office/drawing/2014/main" xmlns="" id="{773B5B25-3450-4F10-8D1D-07B8222EB9D7}"/>
              </a:ext>
            </a:extLst>
          </xdr:cNvPr>
          <xdr:cNvCxnSpPr/>
        </xdr:nvCxnSpPr>
        <xdr:spPr>
          <a:xfrm>
            <a:off x="295275" y="797827"/>
            <a:ext cx="7029450" cy="40373"/>
          </a:xfrm>
          <a:prstGeom prst="straightConnector1">
            <a:avLst/>
          </a:prstGeom>
          <a:ln w="19050">
            <a:solidFill>
              <a:sysClr val="windowText" lastClr="000000"/>
            </a:solidFill>
            <a:prstDash val="dash"/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4" name="Retângulo 3">
            <a:extLst>
              <a:ext uri="{FF2B5EF4-FFF2-40B4-BE49-F238E27FC236}">
                <a16:creationId xmlns:a16="http://schemas.microsoft.com/office/drawing/2014/main" xmlns="" id="{EC672BD9-2798-40F1-8DD8-BFEA96923290}"/>
              </a:ext>
            </a:extLst>
          </xdr:cNvPr>
          <xdr:cNvSpPr/>
        </xdr:nvSpPr>
        <xdr:spPr>
          <a:xfrm>
            <a:off x="2228850" y="228600"/>
            <a:ext cx="4933950" cy="593304"/>
          </a:xfrm>
          <a:prstGeom prst="rect">
            <a:avLst/>
          </a:prstGeom>
          <a:noFill/>
        </xdr:spPr>
        <xdr:txBody>
          <a:bodyPr wrap="square" lIns="91440" tIns="45720" rIns="91440" bIns="45720">
            <a:noAutofit/>
          </a:bodyPr>
          <a:lstStyle/>
          <a:p>
            <a:pPr algn="ctr"/>
            <a:r>
              <a:rPr lang="pt-BR" sz="3600" b="1" i="1" cap="none" spc="0">
                <a:ln w="13462">
                  <a:solidFill>
                    <a:schemeClr val="bg1"/>
                  </a:solidFill>
                  <a:prstDash val="solid"/>
                </a:ln>
                <a:solidFill>
                  <a:schemeClr val="tx1">
                    <a:lumMod val="85000"/>
                    <a:lumOff val="15000"/>
                  </a:schemeClr>
                </a:solidFill>
                <a:effectLst>
                  <a:outerShdw dist="38100" dir="2700000" algn="bl" rotWithShape="0">
                    <a:schemeClr val="accent3">
                      <a:lumMod val="50000"/>
                    </a:schemeClr>
                  </a:outerShdw>
                </a:effectLst>
              </a:rPr>
              <a:t>Exercício</a:t>
            </a:r>
            <a:r>
              <a:rPr lang="pt-BR" sz="3600" b="1" i="1" cap="none" spc="0" baseline="0">
                <a:ln w="13462">
                  <a:solidFill>
                    <a:schemeClr val="bg1"/>
                  </a:solidFill>
                  <a:prstDash val="solid"/>
                </a:ln>
                <a:solidFill>
                  <a:schemeClr val="tx1">
                    <a:lumMod val="85000"/>
                    <a:lumOff val="15000"/>
                  </a:schemeClr>
                </a:solidFill>
                <a:effectLst>
                  <a:outerShdw dist="38100" dir="2700000" algn="bl" rotWithShape="0">
                    <a:schemeClr val="accent3">
                      <a:lumMod val="50000"/>
                    </a:schemeClr>
                  </a:outerShdw>
                </a:effectLst>
              </a:rPr>
              <a:t> 1: </a:t>
            </a:r>
            <a:r>
              <a:rPr lang="pt-BR" sz="3600" b="1" i="1" cap="none" spc="0">
                <a:ln w="13462">
                  <a:solidFill>
                    <a:schemeClr val="bg1"/>
                  </a:solidFill>
                  <a:prstDash val="solid"/>
                </a:ln>
                <a:solidFill>
                  <a:schemeClr val="tx1">
                    <a:lumMod val="85000"/>
                    <a:lumOff val="15000"/>
                  </a:schemeClr>
                </a:solidFill>
                <a:effectLst>
                  <a:outerShdw dist="38100" dir="2700000" algn="bl" rotWithShape="0">
                    <a:schemeClr val="accent3">
                      <a:lumMod val="50000"/>
                    </a:schemeClr>
                  </a:outerShdw>
                </a:effectLst>
              </a:rPr>
              <a:t>Função SE</a:t>
            </a:r>
          </a:p>
        </xdr:txBody>
      </xdr:sp>
      <xdr:pic>
        <xdr:nvPicPr>
          <xdr:cNvPr id="5" name="Imagem 4">
            <a:extLst>
              <a:ext uri="{FF2B5EF4-FFF2-40B4-BE49-F238E27FC236}">
                <a16:creationId xmlns:a16="http://schemas.microsoft.com/office/drawing/2014/main" xmlns="" id="{71B557BA-28BB-4F2E-A37C-8BBE4CB03B12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2" cstate="print">
            <a:duotone>
              <a:prstClr val="black"/>
              <a:schemeClr val="accent3">
                <a:tint val="45000"/>
                <a:satMod val="400000"/>
              </a:schemeClr>
            </a:duotone>
            <a:extLst>
              <a:ext uri="{BEBA8EAE-BF5A-486C-A8C5-ECC9F3942E4B}">
                <a14:imgProps xmlns:a14="http://schemas.microsoft.com/office/drawing/2010/main">
                  <a14:imgLayer r:embed="rId3">
                    <a14:imgEffect>
                      <a14:backgroundRemoval t="4000" b="95000" l="3667" r="99000"/>
                    </a14:imgEffect>
                    <a14:imgEffect>
                      <a14:artisticPlasticWrap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 l="11162" t="10677" r="12361" b="11983"/>
          <a:stretch/>
        </xdr:blipFill>
        <xdr:spPr>
          <a:xfrm>
            <a:off x="795055" y="292405"/>
            <a:ext cx="589816" cy="573445"/>
          </a:xfrm>
          <a:prstGeom prst="ellipse">
            <a:avLst/>
          </a:prstGeom>
        </xdr:spPr>
      </xdr:pic>
      <xdr:pic>
        <xdr:nvPicPr>
          <xdr:cNvPr id="15" name="Imagem 14" descr="Resultado de imagem para computador png">
            <a:extLst>
              <a:ext uri="{FF2B5EF4-FFF2-40B4-BE49-F238E27FC236}">
                <a16:creationId xmlns:a16="http://schemas.microsoft.com/office/drawing/2014/main" xmlns="" id="{9A1EA2E1-655E-412C-854D-0CA14AC07E5D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4" cstate="print">
            <a:clrChange>
              <a:clrFrom>
                <a:srgbClr val="F6F6F6"/>
              </a:clrFrom>
              <a:clrTo>
                <a:srgbClr val="F6F6F6">
                  <a:alpha val="0"/>
                </a:srgbClr>
              </a:clrTo>
            </a:clrChang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7515225" y="219075"/>
            <a:ext cx="745821" cy="745821"/>
          </a:xfrm>
          <a:prstGeom prst="rect">
            <a:avLst/>
          </a:prstGeom>
          <a:noFill/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16" name="Imagem 15" descr="Resultado de imagem para computador png">
            <a:extLst>
              <a:ext uri="{FF2B5EF4-FFF2-40B4-BE49-F238E27FC236}">
                <a16:creationId xmlns:a16="http://schemas.microsoft.com/office/drawing/2014/main" xmlns="" id="{EE401560-EAD0-43E8-A536-0DD2AAF9C6F8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4" cstate="print">
            <a:clrChange>
              <a:clrFrom>
                <a:srgbClr val="F6F6F6"/>
              </a:clrFrom>
              <a:clrTo>
                <a:srgbClr val="F6F6F6">
                  <a:alpha val="0"/>
                </a:srgbClr>
              </a:clrTo>
            </a:clrChang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8543925" y="219075"/>
            <a:ext cx="745821" cy="745821"/>
          </a:xfrm>
          <a:prstGeom prst="rect">
            <a:avLst/>
          </a:prstGeom>
          <a:noFill/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16178</xdr:rowOff>
    </xdr:from>
    <xdr:to>
      <xdr:col>12</xdr:col>
      <xdr:colOff>114300</xdr:colOff>
      <xdr:row>2</xdr:row>
      <xdr:rowOff>761999</xdr:rowOff>
    </xdr:to>
    <xdr:grpSp>
      <xdr:nvGrpSpPr>
        <xdr:cNvPr id="10" name="Agrupar 9">
          <a:extLst>
            <a:ext uri="{FF2B5EF4-FFF2-40B4-BE49-F238E27FC236}">
              <a16:creationId xmlns:a16="http://schemas.microsoft.com/office/drawing/2014/main" xmlns="" id="{5244352E-C1A8-4AB5-84D0-99DE408A9DB0}"/>
            </a:ext>
          </a:extLst>
        </xdr:cNvPr>
        <xdr:cNvGrpSpPr/>
      </xdr:nvGrpSpPr>
      <xdr:grpSpPr>
        <a:xfrm>
          <a:off x="292100" y="219378"/>
          <a:ext cx="9156700" cy="745821"/>
          <a:chOff x="295275" y="206678"/>
          <a:chExt cx="9124950" cy="745821"/>
        </a:xfrm>
      </xdr:grpSpPr>
      <xdr:cxnSp macro="">
        <xdr:nvCxnSpPr>
          <xdr:cNvPr id="3" name="Conector de seta reta 1">
            <a:extLst>
              <a:ext uri="{FF2B5EF4-FFF2-40B4-BE49-F238E27FC236}">
                <a16:creationId xmlns:a16="http://schemas.microsoft.com/office/drawing/2014/main" xmlns="" id="{820154B7-9492-4708-86A8-92DFA8B38B4F}"/>
              </a:ext>
            </a:extLst>
          </xdr:cNvPr>
          <xdr:cNvCxnSpPr/>
        </xdr:nvCxnSpPr>
        <xdr:spPr>
          <a:xfrm>
            <a:off x="295275" y="778776"/>
            <a:ext cx="7029450" cy="40373"/>
          </a:xfrm>
          <a:prstGeom prst="straightConnector1">
            <a:avLst/>
          </a:prstGeom>
          <a:ln w="19050">
            <a:solidFill>
              <a:sysClr val="windowText" lastClr="000000"/>
            </a:solidFill>
            <a:prstDash val="dash"/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4" name="Retângulo 3">
            <a:extLst>
              <a:ext uri="{FF2B5EF4-FFF2-40B4-BE49-F238E27FC236}">
                <a16:creationId xmlns:a16="http://schemas.microsoft.com/office/drawing/2014/main" xmlns="" id="{24CEA810-C340-44E3-863E-DF013B1B35F2}"/>
              </a:ext>
            </a:extLst>
          </xdr:cNvPr>
          <xdr:cNvSpPr/>
        </xdr:nvSpPr>
        <xdr:spPr>
          <a:xfrm>
            <a:off x="2295525" y="209549"/>
            <a:ext cx="4962525" cy="593304"/>
          </a:xfrm>
          <a:prstGeom prst="rect">
            <a:avLst/>
          </a:prstGeom>
          <a:noFill/>
        </xdr:spPr>
        <xdr:txBody>
          <a:bodyPr wrap="square" lIns="91440" tIns="45720" rIns="91440" bIns="45720">
            <a:noAutofit/>
          </a:bodyPr>
          <a:lstStyle/>
          <a:p>
            <a:pPr algn="ctr"/>
            <a:r>
              <a:rPr lang="pt-BR" sz="3600" b="1" i="1" cap="none" spc="0">
                <a:ln w="13462">
                  <a:solidFill>
                    <a:schemeClr val="bg1"/>
                  </a:solidFill>
                  <a:prstDash val="solid"/>
                </a:ln>
                <a:solidFill>
                  <a:schemeClr val="tx1">
                    <a:lumMod val="85000"/>
                    <a:lumOff val="15000"/>
                  </a:schemeClr>
                </a:solidFill>
                <a:effectLst>
                  <a:outerShdw dist="38100" dir="2700000" algn="bl" rotWithShape="0">
                    <a:schemeClr val="accent5"/>
                  </a:outerShdw>
                </a:effectLst>
              </a:rPr>
              <a:t>Exercício</a:t>
            </a:r>
            <a:r>
              <a:rPr lang="pt-BR" sz="3600" b="1" i="1" cap="none" spc="0" baseline="0">
                <a:ln w="13462">
                  <a:solidFill>
                    <a:schemeClr val="bg1"/>
                  </a:solidFill>
                  <a:prstDash val="solid"/>
                </a:ln>
                <a:solidFill>
                  <a:schemeClr val="tx1">
                    <a:lumMod val="85000"/>
                    <a:lumOff val="15000"/>
                  </a:schemeClr>
                </a:solidFill>
                <a:effectLst>
                  <a:outerShdw dist="38100" dir="2700000" algn="bl" rotWithShape="0">
                    <a:schemeClr val="accent5"/>
                  </a:outerShdw>
                </a:effectLst>
              </a:rPr>
              <a:t> 2: </a:t>
            </a:r>
            <a:r>
              <a:rPr lang="pt-BR" sz="3600" b="1" i="1" cap="none" spc="0">
                <a:ln w="13462">
                  <a:solidFill>
                    <a:schemeClr val="bg1"/>
                  </a:solidFill>
                  <a:prstDash val="solid"/>
                </a:ln>
                <a:solidFill>
                  <a:schemeClr val="tx1">
                    <a:lumMod val="85000"/>
                    <a:lumOff val="15000"/>
                  </a:schemeClr>
                </a:solidFill>
                <a:effectLst>
                  <a:outerShdw dist="38100" dir="2700000" algn="bl" rotWithShape="0">
                    <a:schemeClr val="accent5"/>
                  </a:outerShdw>
                </a:effectLst>
              </a:rPr>
              <a:t>Função SE</a:t>
            </a:r>
          </a:p>
        </xdr:txBody>
      </xdr:sp>
      <xdr:pic>
        <xdr:nvPicPr>
          <xdr:cNvPr id="5" name="Imagem 4">
            <a:extLst>
              <a:ext uri="{FF2B5EF4-FFF2-40B4-BE49-F238E27FC236}">
                <a16:creationId xmlns:a16="http://schemas.microsoft.com/office/drawing/2014/main" xmlns="" id="{70AEBD2F-FDF4-4E40-A6A5-BBE60C969D69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" cstate="print">
            <a:duotone>
              <a:prstClr val="black"/>
              <a:schemeClr val="accent5">
                <a:tint val="45000"/>
                <a:satMod val="400000"/>
              </a:schemeClr>
            </a:duotone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backgroundRemoval t="4000" b="95000" l="3667" r="99000"/>
                    </a14:imgEffect>
                    <a14:imgEffect>
                      <a14:artisticPlasticWrap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 l="11162" t="10677" r="12361" b="11983"/>
          <a:stretch/>
        </xdr:blipFill>
        <xdr:spPr>
          <a:xfrm>
            <a:off x="795055" y="273354"/>
            <a:ext cx="589816" cy="573445"/>
          </a:xfrm>
          <a:prstGeom prst="ellipse">
            <a:avLst/>
          </a:prstGeom>
        </xdr:spPr>
      </xdr:pic>
      <xdr:pic>
        <xdr:nvPicPr>
          <xdr:cNvPr id="8" name="Imagem 7" descr="Resultado de imagem para computador png">
            <a:extLst>
              <a:ext uri="{FF2B5EF4-FFF2-40B4-BE49-F238E27FC236}">
                <a16:creationId xmlns:a16="http://schemas.microsoft.com/office/drawing/2014/main" xmlns="" id="{B8FF554E-9C68-4D7B-BF09-6C358E2EBA03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3" cstate="print">
            <a:clrChange>
              <a:clrFrom>
                <a:srgbClr val="F6F6F6"/>
              </a:clrFrom>
              <a:clrTo>
                <a:srgbClr val="F6F6F6">
                  <a:alpha val="0"/>
                </a:srgbClr>
              </a:clrTo>
            </a:clrChang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7645704" y="206678"/>
            <a:ext cx="745821" cy="745821"/>
          </a:xfrm>
          <a:prstGeom prst="rect">
            <a:avLst/>
          </a:prstGeom>
          <a:noFill/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9" name="Imagem 8" descr="Resultado de imagem para computador png">
            <a:extLst>
              <a:ext uri="{FF2B5EF4-FFF2-40B4-BE49-F238E27FC236}">
                <a16:creationId xmlns:a16="http://schemas.microsoft.com/office/drawing/2014/main" xmlns="" id="{BC696D61-BD6C-476E-A01D-A17D77197863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3" cstate="print">
            <a:clrChange>
              <a:clrFrom>
                <a:srgbClr val="F6F6F6"/>
              </a:clrFrom>
              <a:clrTo>
                <a:srgbClr val="F6F6F6">
                  <a:alpha val="0"/>
                </a:srgbClr>
              </a:clrTo>
            </a:clrChang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8674404" y="206678"/>
            <a:ext cx="745821" cy="745821"/>
          </a:xfrm>
          <a:prstGeom prst="rect">
            <a:avLst/>
          </a:prstGeom>
          <a:noFill/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272413</xdr:colOff>
      <xdr:row>28</xdr:row>
      <xdr:rowOff>10025</xdr:rowOff>
    </xdr:from>
    <xdr:to>
      <xdr:col>18</xdr:col>
      <xdr:colOff>50133</xdr:colOff>
      <xdr:row>43</xdr:row>
      <xdr:rowOff>46838</xdr:rowOff>
    </xdr:to>
    <xdr:pic>
      <xdr:nvPicPr>
        <xdr:cNvPr id="2" name="Imagem 1" descr="Resultado de imagem para veículos png">
          <a:extLst>
            <a:ext uri="{FF2B5EF4-FFF2-40B4-BE49-F238E27FC236}">
              <a16:creationId xmlns:a16="http://schemas.microsoft.com/office/drawing/2014/main" xmlns="" id="{9CDB5860-B531-4545-884A-4CD018A892E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375808" y="5414209"/>
          <a:ext cx="7227272" cy="27539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</xdr:col>
      <xdr:colOff>0</xdr:colOff>
      <xdr:row>1</xdr:row>
      <xdr:rowOff>66371</xdr:rowOff>
    </xdr:from>
    <xdr:to>
      <xdr:col>16</xdr:col>
      <xdr:colOff>536266</xdr:colOff>
      <xdr:row>2</xdr:row>
      <xdr:rowOff>777571</xdr:rowOff>
    </xdr:to>
    <xdr:grpSp>
      <xdr:nvGrpSpPr>
        <xdr:cNvPr id="22" name="Agrupar 21">
          <a:extLst>
            <a:ext uri="{FF2B5EF4-FFF2-40B4-BE49-F238E27FC236}">
              <a16:creationId xmlns:a16="http://schemas.microsoft.com/office/drawing/2014/main" xmlns="" id="{12663D8C-64A7-4124-AF6B-EDD02AC221DB}"/>
            </a:ext>
          </a:extLst>
        </xdr:cNvPr>
        <xdr:cNvGrpSpPr/>
      </xdr:nvGrpSpPr>
      <xdr:grpSpPr>
        <a:xfrm>
          <a:off x="292100" y="167971"/>
          <a:ext cx="11483666" cy="812800"/>
          <a:chOff x="296333" y="161621"/>
          <a:chExt cx="11468850" cy="806450"/>
        </a:xfrm>
      </xdr:grpSpPr>
      <xdr:cxnSp macro="">
        <xdr:nvCxnSpPr>
          <xdr:cNvPr id="11" name="Conector de seta reta 1">
            <a:extLst>
              <a:ext uri="{FF2B5EF4-FFF2-40B4-BE49-F238E27FC236}">
                <a16:creationId xmlns:a16="http://schemas.microsoft.com/office/drawing/2014/main" xmlns="" id="{EA5E225C-9EAC-4EF4-A9F4-123999E3FE1C}"/>
              </a:ext>
            </a:extLst>
          </xdr:cNvPr>
          <xdr:cNvCxnSpPr/>
        </xdr:nvCxnSpPr>
        <xdr:spPr>
          <a:xfrm flipV="1">
            <a:off x="296333" y="783167"/>
            <a:ext cx="9271000" cy="598"/>
          </a:xfrm>
          <a:prstGeom prst="straightConnector1">
            <a:avLst/>
          </a:prstGeom>
          <a:ln w="19050">
            <a:solidFill>
              <a:sysClr val="windowText" lastClr="000000"/>
            </a:solidFill>
            <a:prstDash val="dash"/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2" name="Retângulo 11">
            <a:extLst>
              <a:ext uri="{FF2B5EF4-FFF2-40B4-BE49-F238E27FC236}">
                <a16:creationId xmlns:a16="http://schemas.microsoft.com/office/drawing/2014/main" xmlns="" id="{2A4C7F2B-D1DD-44B1-ABBC-8BFE03DECF0A}"/>
              </a:ext>
            </a:extLst>
          </xdr:cNvPr>
          <xdr:cNvSpPr/>
        </xdr:nvSpPr>
        <xdr:spPr>
          <a:xfrm>
            <a:off x="3680844" y="161621"/>
            <a:ext cx="5431809" cy="593304"/>
          </a:xfrm>
          <a:prstGeom prst="rect">
            <a:avLst/>
          </a:prstGeom>
          <a:noFill/>
        </xdr:spPr>
        <xdr:txBody>
          <a:bodyPr wrap="square" lIns="91440" tIns="45720" rIns="91440" bIns="45720">
            <a:noAutofit/>
          </a:bodyPr>
          <a:lstStyle/>
          <a:p>
            <a:pPr algn="ctr"/>
            <a:r>
              <a:rPr lang="pt-BR" sz="4000" b="1" i="1" cap="none" spc="0">
                <a:ln w="13462">
                  <a:solidFill>
                    <a:schemeClr val="bg1"/>
                  </a:solidFill>
                  <a:prstDash val="solid"/>
                </a:ln>
                <a:solidFill>
                  <a:schemeClr val="tx1">
                    <a:lumMod val="85000"/>
                    <a:lumOff val="15000"/>
                  </a:schemeClr>
                </a:solidFill>
                <a:effectLst>
                  <a:outerShdw dist="38100" dir="2700000" algn="bl" rotWithShape="0">
                    <a:schemeClr val="accent2">
                      <a:lumMod val="75000"/>
                    </a:schemeClr>
                  </a:outerShdw>
                </a:effectLst>
              </a:rPr>
              <a:t>Exercício</a:t>
            </a:r>
            <a:r>
              <a:rPr lang="pt-BR" sz="4000" b="1" i="1" cap="none" spc="0" baseline="0">
                <a:ln w="13462">
                  <a:solidFill>
                    <a:schemeClr val="bg1"/>
                  </a:solidFill>
                  <a:prstDash val="solid"/>
                </a:ln>
                <a:solidFill>
                  <a:schemeClr val="tx1">
                    <a:lumMod val="85000"/>
                    <a:lumOff val="15000"/>
                  </a:schemeClr>
                </a:solidFill>
                <a:effectLst>
                  <a:outerShdw dist="38100" dir="2700000" algn="bl" rotWithShape="0">
                    <a:schemeClr val="accent2">
                      <a:lumMod val="75000"/>
                    </a:schemeClr>
                  </a:outerShdw>
                </a:effectLst>
              </a:rPr>
              <a:t> 3: </a:t>
            </a:r>
            <a:r>
              <a:rPr lang="pt-BR" sz="4000" b="1" i="1" cap="none" spc="0">
                <a:ln w="13462">
                  <a:solidFill>
                    <a:schemeClr val="bg1"/>
                  </a:solidFill>
                  <a:prstDash val="solid"/>
                </a:ln>
                <a:solidFill>
                  <a:schemeClr val="tx1">
                    <a:lumMod val="85000"/>
                    <a:lumOff val="15000"/>
                  </a:schemeClr>
                </a:solidFill>
                <a:effectLst>
                  <a:outerShdw dist="38100" dir="2700000" algn="bl" rotWithShape="0">
                    <a:schemeClr val="accent2">
                      <a:lumMod val="75000"/>
                    </a:schemeClr>
                  </a:outerShdw>
                </a:effectLst>
              </a:rPr>
              <a:t>Função SE</a:t>
            </a:r>
          </a:p>
        </xdr:txBody>
      </xdr:sp>
      <xdr:pic>
        <xdr:nvPicPr>
          <xdr:cNvPr id="13" name="Imagem 12">
            <a:extLst>
              <a:ext uri="{FF2B5EF4-FFF2-40B4-BE49-F238E27FC236}">
                <a16:creationId xmlns:a16="http://schemas.microsoft.com/office/drawing/2014/main" xmlns="" id="{C5F31369-1B78-4B6E-BF2D-2259DC55B38B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2" cstate="print">
            <a:duotone>
              <a:prstClr val="black"/>
              <a:schemeClr val="accent2">
                <a:tint val="45000"/>
                <a:satMod val="400000"/>
              </a:schemeClr>
            </a:duotone>
            <a:extLst>
              <a:ext uri="{BEBA8EAE-BF5A-486C-A8C5-ECC9F3942E4B}">
                <a14:imgProps xmlns:a14="http://schemas.microsoft.com/office/drawing/2010/main">
                  <a14:imgLayer r:embed="rId3">
                    <a14:imgEffect>
                      <a14:backgroundRemoval t="4000" b="95000" l="3667" r="99000"/>
                    </a14:imgEffect>
                    <a14:imgEffect>
                      <a14:artisticPlasticWrap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 l="11162" t="10677" r="12361" b="11983"/>
          <a:stretch/>
        </xdr:blipFill>
        <xdr:spPr>
          <a:xfrm>
            <a:off x="1132417" y="267759"/>
            <a:ext cx="649330" cy="626808"/>
          </a:xfrm>
          <a:prstGeom prst="ellipse">
            <a:avLst/>
          </a:prstGeom>
        </xdr:spPr>
      </xdr:pic>
      <xdr:pic>
        <xdr:nvPicPr>
          <xdr:cNvPr id="20" name="Imagem 19" descr="Resultado de imagem para computador png">
            <a:extLst>
              <a:ext uri="{FF2B5EF4-FFF2-40B4-BE49-F238E27FC236}">
                <a16:creationId xmlns:a16="http://schemas.microsoft.com/office/drawing/2014/main" xmlns="" id="{91A558D4-9F08-4E9D-B24E-2DC3387E8945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4" cstate="print">
            <a:clrChange>
              <a:clrFrom>
                <a:srgbClr val="F6F6F6"/>
              </a:clrFrom>
              <a:clrTo>
                <a:srgbClr val="F6F6F6">
                  <a:alpha val="0"/>
                </a:srgbClr>
              </a:clrTo>
            </a:clrChang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9895414" y="222250"/>
            <a:ext cx="745821" cy="745821"/>
          </a:xfrm>
          <a:prstGeom prst="rect">
            <a:avLst/>
          </a:prstGeom>
          <a:noFill/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21" name="Imagem 20" descr="Resultado de imagem para computador png">
            <a:extLst>
              <a:ext uri="{FF2B5EF4-FFF2-40B4-BE49-F238E27FC236}">
                <a16:creationId xmlns:a16="http://schemas.microsoft.com/office/drawing/2014/main" xmlns="" id="{220F96E4-BEF2-44D0-AEA0-1D5AFAF2C93E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4" cstate="print">
            <a:clrChange>
              <a:clrFrom>
                <a:srgbClr val="F6F6F6"/>
              </a:clrFrom>
              <a:clrTo>
                <a:srgbClr val="F6F6F6">
                  <a:alpha val="0"/>
                </a:srgbClr>
              </a:clrTo>
            </a:clrChang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1019362" y="222250"/>
            <a:ext cx="745821" cy="745821"/>
          </a:xfrm>
          <a:prstGeom prst="rect">
            <a:avLst/>
          </a:prstGeom>
          <a:noFill/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335757</xdr:colOff>
      <xdr:row>16</xdr:row>
      <xdr:rowOff>1</xdr:rowOff>
    </xdr:from>
    <xdr:to>
      <xdr:col>28</xdr:col>
      <xdr:colOff>1</xdr:colOff>
      <xdr:row>31</xdr:row>
      <xdr:rowOff>0</xdr:rowOff>
    </xdr:to>
    <xdr:grpSp>
      <xdr:nvGrpSpPr>
        <xdr:cNvPr id="12" name="Agrupar 11">
          <a:extLst>
            <a:ext uri="{FF2B5EF4-FFF2-40B4-BE49-F238E27FC236}">
              <a16:creationId xmlns:a16="http://schemas.microsoft.com/office/drawing/2014/main" xmlns="" id="{10498817-9814-48D9-8F2D-DC5BD1FCA7E2}"/>
            </a:ext>
          </a:extLst>
        </xdr:cNvPr>
        <xdr:cNvGrpSpPr/>
      </xdr:nvGrpSpPr>
      <xdr:grpSpPr>
        <a:xfrm>
          <a:off x="792957" y="5003801"/>
          <a:ext cx="11868944" cy="2857499"/>
          <a:chOff x="800101" y="4988720"/>
          <a:chExt cx="11796713" cy="2857499"/>
        </a:xfrm>
      </xdr:grpSpPr>
      <xdr:sp macro="" textlink="">
        <xdr:nvSpPr>
          <xdr:cNvPr id="2" name="Retângulo de cantos arredondados 1">
            <a:extLst>
              <a:ext uri="{FF2B5EF4-FFF2-40B4-BE49-F238E27FC236}">
                <a16:creationId xmlns:a16="http://schemas.microsoft.com/office/drawing/2014/main" xmlns="" id="{00000000-0008-0000-0A00-000002000000}"/>
              </a:ext>
            </a:extLst>
          </xdr:cNvPr>
          <xdr:cNvSpPr/>
        </xdr:nvSpPr>
        <xdr:spPr>
          <a:xfrm>
            <a:off x="800101" y="4988720"/>
            <a:ext cx="3938587" cy="2476499"/>
          </a:xfrm>
          <a:prstGeom prst="roundRect">
            <a:avLst>
              <a:gd name="adj" fmla="val 1187"/>
            </a:avLst>
          </a:prstGeom>
          <a:solidFill>
            <a:schemeClr val="bg2"/>
          </a:solidFill>
          <a:ln>
            <a:solidFill>
              <a:schemeClr val="accent5">
                <a:lumMod val="50000"/>
              </a:schemeClr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300" b="1">
                <a:solidFill>
                  <a:schemeClr val="accent5">
                    <a:lumMod val="50000"/>
                  </a:schemeClr>
                </a:solidFill>
              </a:rPr>
              <a:t>Complete o exercício com as</a:t>
            </a:r>
            <a:r>
              <a:rPr lang="en-US" sz="1300" b="1" baseline="0">
                <a:solidFill>
                  <a:schemeClr val="accent5">
                    <a:lumMod val="50000"/>
                  </a:schemeClr>
                </a:solidFill>
              </a:rPr>
              <a:t> situações abaixo, seguindo os textos ou fazendo sua própria versão.</a:t>
            </a:r>
          </a:p>
          <a:p>
            <a:pPr algn="ctr"/>
            <a:endParaRPr lang="en-US" sz="800" b="1" u="sng" baseline="0">
              <a:solidFill>
                <a:schemeClr val="accent6">
                  <a:lumMod val="50000"/>
                </a:schemeClr>
              </a:solidFill>
            </a:endParaRPr>
          </a:p>
          <a:p>
            <a:pPr algn="ctr"/>
            <a:r>
              <a:rPr lang="en-US" sz="1400" b="1" u="sng" baseline="0">
                <a:solidFill>
                  <a:schemeClr val="accent6">
                    <a:lumMod val="50000"/>
                  </a:schemeClr>
                </a:solidFill>
              </a:rPr>
              <a:t>Situações</a:t>
            </a:r>
            <a:r>
              <a:rPr lang="en-US" sz="1400" b="1" baseline="0">
                <a:solidFill>
                  <a:schemeClr val="accent6">
                    <a:lumMod val="50000"/>
                  </a:schemeClr>
                </a:solidFill>
              </a:rPr>
              <a:t> </a:t>
            </a:r>
          </a:p>
          <a:p>
            <a:pPr algn="l"/>
            <a:r>
              <a:rPr lang="en-US" sz="1400" b="1" baseline="0">
                <a:solidFill>
                  <a:schemeClr val="accent6"/>
                </a:solidFill>
              </a:rPr>
              <a:t>1</a:t>
            </a:r>
          </a:p>
          <a:p>
            <a:pPr algn="l"/>
            <a:r>
              <a:rPr lang="en-US" sz="1400" b="1" baseline="0">
                <a:solidFill>
                  <a:schemeClr val="accent5">
                    <a:lumMod val="50000"/>
                  </a:schemeClr>
                </a:solidFill>
              </a:rPr>
              <a:t>SIM </a:t>
            </a:r>
            <a:r>
              <a:rPr lang="en-US" sz="1400" b="1" baseline="0">
                <a:solidFill>
                  <a:sysClr val="windowText" lastClr="000000"/>
                </a:solidFill>
              </a:rPr>
              <a:t>- Reinicie o modem.</a:t>
            </a:r>
          </a:p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1400" b="1" i="0" u="none" strike="noStrike" kern="0" cap="none" spc="0" normalizeH="0" baseline="0" noProof="0">
                <a:ln>
                  <a:noFill/>
                </a:ln>
                <a:solidFill>
                  <a:schemeClr val="accent5">
                    <a:lumMod val="50000"/>
                  </a:schemeClr>
                </a:solidFill>
                <a:effectLst/>
                <a:uLnTx/>
                <a:uFillTx/>
                <a:latin typeface="+mn-lt"/>
                <a:ea typeface="+mn-ea"/>
                <a:cs typeface="+mn-cs"/>
              </a:rPr>
              <a:t>NÃO </a:t>
            </a:r>
            <a:r>
              <a:rPr kumimoji="0" lang="en-US" sz="1400" b="1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+mn-lt"/>
                <a:ea typeface="+mn-ea"/>
                <a:cs typeface="+mn-cs"/>
              </a:rPr>
              <a:t>- Ligue o modem.</a:t>
            </a:r>
          </a:p>
          <a:p>
            <a:pPr algn="l"/>
            <a:endParaRPr lang="en-US" sz="800" b="1" baseline="0">
              <a:solidFill>
                <a:schemeClr val="bg1"/>
              </a:solidFill>
            </a:endParaRPr>
          </a:p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1400" b="1" i="0" u="none" strike="noStrike" kern="0" cap="none" spc="0" normalizeH="0" baseline="0" noProof="0">
                <a:ln>
                  <a:noFill/>
                </a:ln>
                <a:solidFill>
                  <a:srgbClr val="F79646"/>
                </a:solidFill>
                <a:effectLst/>
                <a:uLnTx/>
                <a:uFillTx/>
                <a:latin typeface="+mn-lt"/>
                <a:ea typeface="+mn-ea"/>
                <a:cs typeface="+mn-cs"/>
              </a:rPr>
              <a:t>2</a:t>
            </a:r>
          </a:p>
          <a:p>
            <a:pPr algn="l"/>
            <a:r>
              <a:rPr lang="en-US" sz="1400" b="1" baseline="0">
                <a:solidFill>
                  <a:schemeClr val="accent5">
                    <a:lumMod val="50000"/>
                  </a:schemeClr>
                </a:solidFill>
              </a:rPr>
              <a:t>SIM </a:t>
            </a:r>
            <a:r>
              <a:rPr lang="en-US" sz="1400" b="1" baseline="0">
                <a:solidFill>
                  <a:sysClr val="windowText" lastClr="000000"/>
                </a:solidFill>
              </a:rPr>
              <a:t>- Ótimo, aproveite.</a:t>
            </a:r>
          </a:p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1400" b="1" i="0" u="none" strike="noStrike" kern="0" cap="none" spc="0" normalizeH="0" baseline="0" noProof="0">
                <a:ln>
                  <a:noFill/>
                </a:ln>
                <a:solidFill>
                  <a:schemeClr val="accent5">
                    <a:lumMod val="50000"/>
                  </a:schemeClr>
                </a:solidFill>
                <a:effectLst/>
                <a:uLnTx/>
                <a:uFillTx/>
                <a:latin typeface="+mn-lt"/>
                <a:ea typeface="+mn-ea"/>
                <a:cs typeface="+mn-cs"/>
              </a:rPr>
              <a:t>NÃO </a:t>
            </a:r>
            <a:r>
              <a:rPr kumimoji="0" lang="en-US" sz="1400" b="1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+mn-lt"/>
                <a:ea typeface="+mn-ea"/>
                <a:cs typeface="+mn-cs"/>
              </a:rPr>
              <a:t>- Tente a próxima opção.</a:t>
            </a:r>
            <a:endParaRPr lang="en-US" sz="1300" b="1"/>
          </a:p>
        </xdr:txBody>
      </xdr:sp>
      <xdr:sp macro="" textlink="">
        <xdr:nvSpPr>
          <xdr:cNvPr id="3" name="Retângulo de cantos arredondados 2">
            <a:extLst>
              <a:ext uri="{FF2B5EF4-FFF2-40B4-BE49-F238E27FC236}">
                <a16:creationId xmlns:a16="http://schemas.microsoft.com/office/drawing/2014/main" xmlns="" id="{00000000-0008-0000-0A00-000003000000}"/>
              </a:ext>
            </a:extLst>
          </xdr:cNvPr>
          <xdr:cNvSpPr/>
        </xdr:nvSpPr>
        <xdr:spPr>
          <a:xfrm>
            <a:off x="5840016" y="5007768"/>
            <a:ext cx="2619375" cy="2838451"/>
          </a:xfrm>
          <a:prstGeom prst="roundRect">
            <a:avLst>
              <a:gd name="adj" fmla="val 1515"/>
            </a:avLst>
          </a:prstGeom>
          <a:solidFill>
            <a:schemeClr val="bg2"/>
          </a:solidFill>
          <a:ln>
            <a:solidFill>
              <a:schemeClr val="accent5">
                <a:lumMod val="50000"/>
              </a:schemeClr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1400" b="1" i="0" u="none" strike="noStrike" kern="0" cap="none" spc="0" normalizeH="0" baseline="0" noProof="0">
                <a:ln>
                  <a:noFill/>
                </a:ln>
                <a:solidFill>
                  <a:srgbClr val="F79646"/>
                </a:solidFill>
                <a:effectLst/>
                <a:uLnTx/>
                <a:uFillTx/>
                <a:latin typeface="+mn-lt"/>
                <a:ea typeface="+mn-ea"/>
                <a:cs typeface="+mn-cs"/>
              </a:rPr>
              <a:t>3</a:t>
            </a:r>
          </a:p>
          <a:p>
            <a:pPr algn="l"/>
            <a:r>
              <a:rPr lang="en-US" sz="1400" b="1" baseline="0">
                <a:solidFill>
                  <a:schemeClr val="accent5">
                    <a:lumMod val="50000"/>
                  </a:schemeClr>
                </a:solidFill>
              </a:rPr>
              <a:t>SIM </a:t>
            </a:r>
            <a:r>
              <a:rPr lang="en-US" sz="1400" b="1" baseline="0">
                <a:solidFill>
                  <a:sysClr val="windowText" lastClr="000000"/>
                </a:solidFill>
              </a:rPr>
              <a:t>- Tente a próxima opção.</a:t>
            </a:r>
          </a:p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1400" b="1" i="0" u="none" strike="noStrike" kern="0" cap="none" spc="0" normalizeH="0" baseline="0" noProof="0">
                <a:ln>
                  <a:noFill/>
                </a:ln>
                <a:solidFill>
                  <a:schemeClr val="accent5">
                    <a:lumMod val="50000"/>
                  </a:schemeClr>
                </a:solidFill>
                <a:effectLst/>
                <a:uLnTx/>
                <a:uFillTx/>
                <a:latin typeface="+mn-lt"/>
                <a:ea typeface="+mn-ea"/>
                <a:cs typeface="+mn-cs"/>
              </a:rPr>
              <a:t>NÃO </a:t>
            </a:r>
            <a:r>
              <a:rPr kumimoji="0" lang="en-US" sz="1400" b="1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+mn-lt"/>
                <a:ea typeface="+mn-ea"/>
                <a:cs typeface="+mn-cs"/>
              </a:rPr>
              <a:t>- Clique no ícone de rede e selecione a opção "Solucionar o Problema".</a:t>
            </a:r>
          </a:p>
          <a:p>
            <a:pPr algn="l"/>
            <a:endParaRPr lang="en-US" sz="600" b="1" baseline="0">
              <a:solidFill>
                <a:schemeClr val="bg1"/>
              </a:solidFill>
            </a:endParaRPr>
          </a:p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1400" b="1" i="0" u="none" strike="noStrike" kern="0" cap="none" spc="0" normalizeH="0" baseline="0" noProof="0">
                <a:ln>
                  <a:noFill/>
                </a:ln>
                <a:solidFill>
                  <a:srgbClr val="F79646"/>
                </a:solidFill>
                <a:effectLst/>
                <a:uLnTx/>
                <a:uFillTx/>
                <a:latin typeface="+mn-lt"/>
                <a:ea typeface="+mn-ea"/>
                <a:cs typeface="+mn-cs"/>
              </a:rPr>
              <a:t>4</a:t>
            </a:r>
          </a:p>
          <a:p>
            <a:pPr algn="l"/>
            <a:r>
              <a:rPr lang="en-US" sz="1400" b="1" baseline="0">
                <a:solidFill>
                  <a:schemeClr val="accent5">
                    <a:lumMod val="50000"/>
                  </a:schemeClr>
                </a:solidFill>
              </a:rPr>
              <a:t>SIM </a:t>
            </a:r>
            <a:r>
              <a:rPr lang="en-US" sz="1400" b="1" baseline="0">
                <a:solidFill>
                  <a:sysClr val="windowText" lastClr="000000"/>
                </a:solidFill>
              </a:rPr>
              <a:t>- Esse Windows é mágico!</a:t>
            </a:r>
          </a:p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1400" b="1" i="0" u="none" strike="noStrike" kern="0" cap="none" spc="0" normalizeH="0" baseline="0" noProof="0">
                <a:ln>
                  <a:noFill/>
                </a:ln>
                <a:solidFill>
                  <a:schemeClr val="accent5">
                    <a:lumMod val="50000"/>
                  </a:schemeClr>
                </a:solidFill>
                <a:effectLst/>
                <a:uLnTx/>
                <a:uFillTx/>
                <a:latin typeface="+mn-lt"/>
                <a:ea typeface="+mn-ea"/>
                <a:cs typeface="+mn-cs"/>
              </a:rPr>
              <a:t>NÃO </a:t>
            </a:r>
            <a:r>
              <a:rPr kumimoji="0" lang="en-US" sz="1400" b="1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+mn-lt"/>
                <a:ea typeface="+mn-ea"/>
                <a:cs typeface="+mn-cs"/>
              </a:rPr>
              <a:t>- Tente a próxima opção.</a:t>
            </a:r>
          </a:p>
          <a:p>
            <a:pPr algn="l"/>
            <a:endParaRPr lang="en-US" sz="600" b="1" baseline="0">
              <a:solidFill>
                <a:sysClr val="windowText" lastClr="000000"/>
              </a:solidFill>
            </a:endParaRPr>
          </a:p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1400" b="1" i="0" u="none" strike="noStrike" kern="0" cap="none" spc="0" normalizeH="0" baseline="0" noProof="0">
                <a:ln>
                  <a:noFill/>
                </a:ln>
                <a:solidFill>
                  <a:srgbClr val="F79646"/>
                </a:solidFill>
                <a:effectLst/>
                <a:uLnTx/>
                <a:uFillTx/>
                <a:latin typeface="+mn-lt"/>
                <a:ea typeface="+mn-ea"/>
                <a:cs typeface="+mn-cs"/>
              </a:rPr>
              <a:t>5</a:t>
            </a:r>
          </a:p>
          <a:p>
            <a:pPr algn="l"/>
            <a:r>
              <a:rPr lang="en-US" sz="1400" b="1" baseline="0">
                <a:solidFill>
                  <a:schemeClr val="accent5">
                    <a:lumMod val="50000"/>
                  </a:schemeClr>
                </a:solidFill>
              </a:rPr>
              <a:t>SIM </a:t>
            </a:r>
            <a:r>
              <a:rPr lang="en-US" sz="1400" b="1" baseline="0">
                <a:solidFill>
                  <a:sysClr val="windowText" lastClr="000000"/>
                </a:solidFill>
              </a:rPr>
              <a:t>- Tente a próxima opção.</a:t>
            </a:r>
          </a:p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1400" b="1" i="0" u="none" strike="noStrike" kern="0" cap="none" spc="0" normalizeH="0" baseline="0" noProof="0">
                <a:ln>
                  <a:noFill/>
                </a:ln>
                <a:solidFill>
                  <a:schemeClr val="accent5">
                    <a:lumMod val="50000"/>
                  </a:schemeClr>
                </a:solidFill>
                <a:effectLst/>
                <a:uLnTx/>
                <a:uFillTx/>
                <a:latin typeface="+mn-lt"/>
                <a:ea typeface="+mn-ea"/>
                <a:cs typeface="+mn-cs"/>
              </a:rPr>
              <a:t>NÃO </a:t>
            </a:r>
            <a:r>
              <a:rPr kumimoji="0" lang="en-US" sz="1400" b="1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+mn-lt"/>
                <a:ea typeface="+mn-ea"/>
                <a:cs typeface="+mn-cs"/>
              </a:rPr>
              <a:t>- Pergunte logo!</a:t>
            </a:r>
          </a:p>
        </xdr:txBody>
      </xdr:sp>
      <xdr:sp macro="" textlink="">
        <xdr:nvSpPr>
          <xdr:cNvPr id="4" name="Retângulo de cantos arredondados 3">
            <a:extLst>
              <a:ext uri="{FF2B5EF4-FFF2-40B4-BE49-F238E27FC236}">
                <a16:creationId xmlns:a16="http://schemas.microsoft.com/office/drawing/2014/main" xmlns="" id="{00000000-0008-0000-0A00-000004000000}"/>
              </a:ext>
            </a:extLst>
          </xdr:cNvPr>
          <xdr:cNvSpPr/>
        </xdr:nvSpPr>
        <xdr:spPr>
          <a:xfrm>
            <a:off x="9560720" y="5017293"/>
            <a:ext cx="3036094" cy="2352676"/>
          </a:xfrm>
          <a:prstGeom prst="roundRect">
            <a:avLst>
              <a:gd name="adj" fmla="val 1273"/>
            </a:avLst>
          </a:prstGeom>
          <a:solidFill>
            <a:schemeClr val="bg2"/>
          </a:solidFill>
          <a:ln>
            <a:solidFill>
              <a:schemeClr val="accent5">
                <a:lumMod val="50000"/>
              </a:schemeClr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1400" b="1" i="0" u="none" strike="noStrike" kern="0" cap="none" spc="0" normalizeH="0" baseline="0" noProof="0">
                <a:ln>
                  <a:noFill/>
                </a:ln>
                <a:solidFill>
                  <a:srgbClr val="F79646"/>
                </a:solidFill>
                <a:effectLst/>
                <a:uLnTx/>
                <a:uFillTx/>
                <a:latin typeface="+mn-lt"/>
                <a:ea typeface="+mn-ea"/>
                <a:cs typeface="+mn-cs"/>
              </a:rPr>
              <a:t>6</a:t>
            </a:r>
          </a:p>
          <a:p>
            <a:pPr algn="l"/>
            <a:r>
              <a:rPr lang="en-US" sz="1400" b="1" baseline="0">
                <a:solidFill>
                  <a:schemeClr val="accent5">
                    <a:lumMod val="50000"/>
                  </a:schemeClr>
                </a:solidFill>
              </a:rPr>
              <a:t>SIM </a:t>
            </a:r>
            <a:r>
              <a:rPr lang="en-US" sz="1400" b="1" baseline="0">
                <a:solidFill>
                  <a:sysClr val="windowText" lastClr="000000"/>
                </a:solidFill>
              </a:rPr>
              <a:t>- O pessoal do TI é mágico!</a:t>
            </a:r>
          </a:p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1400" b="1" i="0" u="none" strike="noStrike" kern="0" cap="none" spc="0" normalizeH="0" baseline="0" noProof="0">
                <a:ln>
                  <a:noFill/>
                </a:ln>
                <a:solidFill>
                  <a:schemeClr val="accent5">
                    <a:lumMod val="50000"/>
                  </a:schemeClr>
                </a:solidFill>
                <a:effectLst/>
                <a:uLnTx/>
                <a:uFillTx/>
                <a:latin typeface="+mn-lt"/>
                <a:ea typeface="+mn-ea"/>
                <a:cs typeface="+mn-cs"/>
              </a:rPr>
              <a:t>NÃO </a:t>
            </a:r>
            <a:r>
              <a:rPr kumimoji="0" lang="en-US" sz="1400" b="1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+mn-lt"/>
                <a:ea typeface="+mn-ea"/>
                <a:cs typeface="+mn-cs"/>
              </a:rPr>
              <a:t>- Acontece, tente a próxima opção.</a:t>
            </a:r>
          </a:p>
          <a:p>
            <a:pPr algn="l"/>
            <a:endParaRPr lang="en-US" sz="600" b="1" baseline="0">
              <a:solidFill>
                <a:schemeClr val="bg1"/>
              </a:solidFill>
            </a:endParaRPr>
          </a:p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1400" b="1" i="0" u="none" strike="noStrike" kern="0" cap="none" spc="0" normalizeH="0" baseline="0" noProof="0">
                <a:ln>
                  <a:noFill/>
                </a:ln>
                <a:solidFill>
                  <a:srgbClr val="F79646"/>
                </a:solidFill>
                <a:effectLst/>
                <a:uLnTx/>
                <a:uFillTx/>
                <a:latin typeface="+mn-lt"/>
                <a:ea typeface="+mn-ea"/>
                <a:cs typeface="+mn-cs"/>
              </a:rPr>
              <a:t>7</a:t>
            </a:r>
          </a:p>
          <a:p>
            <a:pPr algn="l"/>
            <a:r>
              <a:rPr lang="en-US" sz="1400" b="1" baseline="0">
                <a:solidFill>
                  <a:schemeClr val="accent5">
                    <a:lumMod val="50000"/>
                  </a:schemeClr>
                </a:solidFill>
              </a:rPr>
              <a:t>SIM </a:t>
            </a:r>
            <a:r>
              <a:rPr lang="en-US" sz="1400" b="1" baseline="0">
                <a:solidFill>
                  <a:sysClr val="windowText" lastClr="000000"/>
                </a:solidFill>
              </a:rPr>
              <a:t>- Então esquece!</a:t>
            </a:r>
          </a:p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1400" b="1" i="0" u="none" strike="noStrike" kern="0" cap="none" spc="0" normalizeH="0" baseline="0" noProof="0">
                <a:ln>
                  <a:noFill/>
                </a:ln>
                <a:solidFill>
                  <a:schemeClr val="accent5">
                    <a:lumMod val="50000"/>
                  </a:schemeClr>
                </a:solidFill>
                <a:effectLst/>
                <a:uLnTx/>
                <a:uFillTx/>
                <a:latin typeface="+mn-lt"/>
                <a:ea typeface="+mn-ea"/>
                <a:cs typeface="+mn-cs"/>
              </a:rPr>
              <a:t>NÃO </a:t>
            </a:r>
            <a:r>
              <a:rPr kumimoji="0" lang="en-US" sz="1400" b="1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+mn-lt"/>
                <a:ea typeface="+mn-ea"/>
                <a:cs typeface="+mn-cs"/>
              </a:rPr>
              <a:t>- Não tem jeito! Você vai ter que ligar para a central de atendimento da empresa contratada.</a:t>
            </a:r>
          </a:p>
          <a:p>
            <a:pPr algn="l"/>
            <a:endParaRPr lang="en-US" sz="1300" b="1" baseline="0"/>
          </a:p>
        </xdr:txBody>
      </xdr:sp>
    </xdr:grpSp>
    <xdr:clientData/>
  </xdr:twoCellAnchor>
  <xdr:twoCellAnchor>
    <xdr:from>
      <xdr:col>2</xdr:col>
      <xdr:colOff>0</xdr:colOff>
      <xdr:row>1</xdr:row>
      <xdr:rowOff>76200</xdr:rowOff>
    </xdr:from>
    <xdr:to>
      <xdr:col>27</xdr:col>
      <xdr:colOff>55265</xdr:colOff>
      <xdr:row>3</xdr:row>
      <xdr:rowOff>8731</xdr:rowOff>
    </xdr:to>
    <xdr:grpSp>
      <xdr:nvGrpSpPr>
        <xdr:cNvPr id="5" name="Agrupar 4">
          <a:extLst>
            <a:ext uri="{FF2B5EF4-FFF2-40B4-BE49-F238E27FC236}">
              <a16:creationId xmlns:a16="http://schemas.microsoft.com/office/drawing/2014/main" xmlns="" id="{D1EFBD0C-066E-42F4-A526-1094793A7E58}"/>
            </a:ext>
          </a:extLst>
        </xdr:cNvPr>
        <xdr:cNvGrpSpPr/>
      </xdr:nvGrpSpPr>
      <xdr:grpSpPr>
        <a:xfrm>
          <a:off x="279400" y="177800"/>
          <a:ext cx="12005965" cy="834231"/>
          <a:chOff x="296333" y="142627"/>
          <a:chExt cx="13208295" cy="825444"/>
        </a:xfrm>
      </xdr:grpSpPr>
      <xdr:cxnSp macro="">
        <xdr:nvCxnSpPr>
          <xdr:cNvPr id="6" name="Conector de seta reta 1">
            <a:extLst>
              <a:ext uri="{FF2B5EF4-FFF2-40B4-BE49-F238E27FC236}">
                <a16:creationId xmlns:a16="http://schemas.microsoft.com/office/drawing/2014/main" xmlns="" id="{5C6335F3-1076-49CA-91A5-997E3F8845B2}"/>
              </a:ext>
            </a:extLst>
          </xdr:cNvPr>
          <xdr:cNvCxnSpPr/>
        </xdr:nvCxnSpPr>
        <xdr:spPr>
          <a:xfrm flipV="1">
            <a:off x="296333" y="768840"/>
            <a:ext cx="10222164" cy="14925"/>
          </a:xfrm>
          <a:prstGeom prst="straightConnector1">
            <a:avLst/>
          </a:prstGeom>
          <a:ln w="19050">
            <a:solidFill>
              <a:sysClr val="windowText" lastClr="000000"/>
            </a:solidFill>
            <a:prstDash val="dash"/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7" name="Retângulo 6">
            <a:extLst>
              <a:ext uri="{FF2B5EF4-FFF2-40B4-BE49-F238E27FC236}">
                <a16:creationId xmlns:a16="http://schemas.microsoft.com/office/drawing/2014/main" xmlns="" id="{2BD592F6-0572-4B15-9F44-225BF4456376}"/>
              </a:ext>
            </a:extLst>
          </xdr:cNvPr>
          <xdr:cNvSpPr/>
        </xdr:nvSpPr>
        <xdr:spPr>
          <a:xfrm>
            <a:off x="4270858" y="142627"/>
            <a:ext cx="6164649" cy="593304"/>
          </a:xfrm>
          <a:prstGeom prst="rect">
            <a:avLst/>
          </a:prstGeom>
          <a:noFill/>
        </xdr:spPr>
        <xdr:txBody>
          <a:bodyPr wrap="square" lIns="91440" tIns="45720" rIns="91440" bIns="45720">
            <a:noAutofit/>
          </a:bodyPr>
          <a:lstStyle/>
          <a:p>
            <a:pPr algn="ctr"/>
            <a:r>
              <a:rPr lang="pt-BR" sz="4000" b="1" i="1" cap="none" spc="0">
                <a:ln w="13462">
                  <a:solidFill>
                    <a:schemeClr val="bg1"/>
                  </a:solidFill>
                  <a:prstDash val="solid"/>
                </a:ln>
                <a:solidFill>
                  <a:schemeClr val="tx1">
                    <a:lumMod val="85000"/>
                    <a:lumOff val="15000"/>
                  </a:schemeClr>
                </a:solidFill>
                <a:effectLst>
                  <a:outerShdw dist="38100" dir="2700000" algn="bl" rotWithShape="0">
                    <a:schemeClr val="accent5">
                      <a:lumMod val="75000"/>
                    </a:schemeClr>
                  </a:outerShdw>
                </a:effectLst>
              </a:rPr>
              <a:t>Exercício</a:t>
            </a:r>
            <a:r>
              <a:rPr lang="pt-BR" sz="4000" b="1" i="1" cap="none" spc="0" baseline="0">
                <a:ln w="13462">
                  <a:solidFill>
                    <a:schemeClr val="bg1"/>
                  </a:solidFill>
                  <a:prstDash val="solid"/>
                </a:ln>
                <a:solidFill>
                  <a:schemeClr val="tx1">
                    <a:lumMod val="85000"/>
                    <a:lumOff val="15000"/>
                  </a:schemeClr>
                </a:solidFill>
                <a:effectLst>
                  <a:outerShdw dist="38100" dir="2700000" algn="bl" rotWithShape="0">
                    <a:schemeClr val="accent5">
                      <a:lumMod val="75000"/>
                    </a:schemeClr>
                  </a:outerShdw>
                </a:effectLst>
              </a:rPr>
              <a:t> 4: </a:t>
            </a:r>
            <a:r>
              <a:rPr lang="pt-BR" sz="4000" b="1" i="1" cap="none" spc="0">
                <a:ln w="13462">
                  <a:solidFill>
                    <a:schemeClr val="bg1"/>
                  </a:solidFill>
                  <a:prstDash val="solid"/>
                </a:ln>
                <a:solidFill>
                  <a:schemeClr val="tx1">
                    <a:lumMod val="85000"/>
                    <a:lumOff val="15000"/>
                  </a:schemeClr>
                </a:solidFill>
                <a:effectLst>
                  <a:outerShdw dist="38100" dir="2700000" algn="bl" rotWithShape="0">
                    <a:schemeClr val="accent5">
                      <a:lumMod val="75000"/>
                    </a:schemeClr>
                  </a:outerShdw>
                </a:effectLst>
              </a:rPr>
              <a:t>Função SE</a:t>
            </a:r>
          </a:p>
        </xdr:txBody>
      </xdr:sp>
      <xdr:pic>
        <xdr:nvPicPr>
          <xdr:cNvPr id="8" name="Imagem 7">
            <a:extLst>
              <a:ext uri="{FF2B5EF4-FFF2-40B4-BE49-F238E27FC236}">
                <a16:creationId xmlns:a16="http://schemas.microsoft.com/office/drawing/2014/main" xmlns="" id="{3A0FFE68-3777-4F40-87C5-26B81AC2823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" cstate="print">
            <a:duotone>
              <a:prstClr val="black"/>
              <a:schemeClr val="accent5">
                <a:tint val="45000"/>
                <a:satMod val="400000"/>
              </a:schemeClr>
            </a:duotone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backgroundRemoval t="4000" b="95000" l="3667" r="99000"/>
                    </a14:imgEffect>
                    <a14:imgEffect>
                      <a14:artisticPlasticWrap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 l="11162" t="10677" r="12361" b="11983"/>
          <a:stretch/>
        </xdr:blipFill>
        <xdr:spPr>
          <a:xfrm>
            <a:off x="1132417" y="267759"/>
            <a:ext cx="649330" cy="626808"/>
          </a:xfrm>
          <a:prstGeom prst="ellipse">
            <a:avLst/>
          </a:prstGeom>
        </xdr:spPr>
      </xdr:pic>
      <xdr:pic>
        <xdr:nvPicPr>
          <xdr:cNvPr id="9" name="Imagem 8" descr="Resultado de imagem para computador png">
            <a:extLst>
              <a:ext uri="{FF2B5EF4-FFF2-40B4-BE49-F238E27FC236}">
                <a16:creationId xmlns:a16="http://schemas.microsoft.com/office/drawing/2014/main" xmlns="" id="{CDE3B2EB-5587-4C40-957D-6933F7CB2B33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3" cstate="print">
            <a:clrChange>
              <a:clrFrom>
                <a:srgbClr val="F6F6F6"/>
              </a:clrFrom>
              <a:clrTo>
                <a:srgbClr val="F6F6F6">
                  <a:alpha val="0"/>
                </a:srgbClr>
              </a:clrTo>
            </a:clrChang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1348911" y="222250"/>
            <a:ext cx="745821" cy="745821"/>
          </a:xfrm>
          <a:prstGeom prst="rect">
            <a:avLst/>
          </a:prstGeom>
          <a:noFill/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10" name="Imagem 9" descr="Resultado de imagem para computador png">
            <a:extLst>
              <a:ext uri="{FF2B5EF4-FFF2-40B4-BE49-F238E27FC236}">
                <a16:creationId xmlns:a16="http://schemas.microsoft.com/office/drawing/2014/main" xmlns="" id="{9CF97F6D-75E2-43A3-8AC3-60EA7C37C448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3" cstate="print">
            <a:clrChange>
              <a:clrFrom>
                <a:srgbClr val="F6F6F6"/>
              </a:clrFrom>
              <a:clrTo>
                <a:srgbClr val="F6F6F6">
                  <a:alpha val="0"/>
                </a:srgbClr>
              </a:clrTo>
            </a:clrChang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2758807" y="222250"/>
            <a:ext cx="745821" cy="745821"/>
          </a:xfrm>
          <a:prstGeom prst="rect">
            <a:avLst/>
          </a:prstGeom>
          <a:noFill/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PenDrive\Oficinas%20Excel%202016\Aula%2015K%20-%20Fun&#231;&#245;es%20de%20procura%20(ProcV%20e%20ProcH)\PROC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Users\felipebiaggio\Downloads\Aula%2015%20-%20Fun&#231;&#245;es%20de%20Procura%20(PROC)%20-%20Resolvido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LASSIFICAÇÃO"/>
      <sheetName val="PROCV"/>
      <sheetName val="REGRAS"/>
      <sheetName val="PROCH"/>
      <sheetName val="EXERCÍCIOV"/>
      <sheetName val="EXERCÍCIOH"/>
      <sheetName val="Extra"/>
      <sheetName val="BD - Extra"/>
    </sheetNames>
    <sheetDataSet>
      <sheetData sheetId="0"/>
      <sheetData sheetId="1"/>
      <sheetData sheetId="2"/>
      <sheetData sheetId="3"/>
      <sheetData sheetId="4"/>
      <sheetData sheetId="5">
        <row r="1">
          <cell r="A1" t="str">
            <v>CENTRO</v>
          </cell>
          <cell r="B1" t="str">
            <v>INTERIOR</v>
          </cell>
          <cell r="C1" t="str">
            <v>LESTE</v>
          </cell>
          <cell r="D1" t="str">
            <v>LITORAL</v>
          </cell>
          <cell r="E1" t="str">
            <v>NORTE</v>
          </cell>
          <cell r="F1" t="str">
            <v>OESTE</v>
          </cell>
          <cell r="G1" t="str">
            <v>SUL</v>
          </cell>
        </row>
        <row r="2">
          <cell r="A2" t="str">
            <v>Ana</v>
          </cell>
          <cell r="B2" t="str">
            <v>Marcondes</v>
          </cell>
          <cell r="C2" t="str">
            <v>Renata</v>
          </cell>
          <cell r="D2" t="str">
            <v>Luis</v>
          </cell>
          <cell r="E2" t="str">
            <v>Rodrigo</v>
          </cell>
          <cell r="F2" t="str">
            <v>Soraia</v>
          </cell>
          <cell r="G2" t="str">
            <v>Lopes</v>
          </cell>
        </row>
        <row r="3">
          <cell r="A3">
            <v>30</v>
          </cell>
          <cell r="B3">
            <v>100</v>
          </cell>
          <cell r="C3">
            <v>50</v>
          </cell>
          <cell r="D3">
            <v>100</v>
          </cell>
          <cell r="E3">
            <v>50</v>
          </cell>
          <cell r="F3">
            <v>20</v>
          </cell>
          <cell r="G3">
            <v>20</v>
          </cell>
        </row>
        <row r="4">
          <cell r="A4" t="str">
            <v>Secretaria</v>
          </cell>
          <cell r="B4" t="str">
            <v>Professor</v>
          </cell>
          <cell r="C4" t="str">
            <v>Gerente</v>
          </cell>
          <cell r="D4" t="str">
            <v>Pintor</v>
          </cell>
          <cell r="E4" t="str">
            <v>suporte TI</v>
          </cell>
          <cell r="F4" t="str">
            <v>DBA</v>
          </cell>
          <cell r="G4" t="str">
            <v>Porteiro</v>
          </cell>
        </row>
      </sheetData>
      <sheetData sheetId="6"/>
      <sheetData sheetId="7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xercícioV"/>
      <sheetName val="ExercícioH"/>
      <sheetName val="Exercício Misto"/>
      <sheetName val="BD - Misto"/>
      <sheetName val="Extra"/>
      <sheetName val="BD - Extra"/>
    </sheetNames>
    <sheetDataSet>
      <sheetData sheetId="0"/>
      <sheetData sheetId="1">
        <row r="1">
          <cell r="A1" t="str">
            <v>CENTRO</v>
          </cell>
          <cell r="B1" t="str">
            <v>INTERIOR</v>
          </cell>
          <cell r="C1" t="str">
            <v>LESTE</v>
          </cell>
          <cell r="D1" t="str">
            <v>LITORAL</v>
          </cell>
          <cell r="E1" t="str">
            <v>NORTE</v>
          </cell>
          <cell r="F1" t="str">
            <v>OESTE</v>
          </cell>
          <cell r="G1" t="str">
            <v>SUL</v>
          </cell>
        </row>
        <row r="2">
          <cell r="A2" t="str">
            <v>Ana</v>
          </cell>
          <cell r="B2" t="str">
            <v>Marcondes</v>
          </cell>
          <cell r="C2" t="str">
            <v>Renata</v>
          </cell>
          <cell r="D2" t="str">
            <v>Luis</v>
          </cell>
          <cell r="E2" t="str">
            <v>Rodrigo</v>
          </cell>
          <cell r="F2" t="str">
            <v>Soraia</v>
          </cell>
          <cell r="G2" t="str">
            <v>Lopes</v>
          </cell>
        </row>
        <row r="3">
          <cell r="A3">
            <v>30</v>
          </cell>
          <cell r="B3">
            <v>100</v>
          </cell>
          <cell r="C3">
            <v>50</v>
          </cell>
          <cell r="D3">
            <v>100</v>
          </cell>
          <cell r="E3">
            <v>50</v>
          </cell>
          <cell r="F3">
            <v>20</v>
          </cell>
          <cell r="G3">
            <v>20</v>
          </cell>
        </row>
        <row r="4">
          <cell r="A4" t="str">
            <v>Secretaria</v>
          </cell>
          <cell r="B4" t="str">
            <v>Professor</v>
          </cell>
          <cell r="C4" t="str">
            <v>Gerente</v>
          </cell>
          <cell r="D4" t="str">
            <v>Pintor</v>
          </cell>
          <cell r="E4" t="str">
            <v>suporte TI</v>
          </cell>
          <cell r="F4" t="str">
            <v>DBA</v>
          </cell>
          <cell r="G4" t="str">
            <v>Porteiro</v>
          </cell>
        </row>
      </sheetData>
      <sheetData sheetId="2"/>
      <sheetData sheetId="3"/>
      <sheetData sheetId="4"/>
      <sheetData sheetId="5"/>
    </sheetDataSet>
  </externalBook>
</externalLink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>
    <tabColor theme="7" tint="-0.249977111117893"/>
  </sheetPr>
  <dimension ref="B1:Q15"/>
  <sheetViews>
    <sheetView showGridLines="0" tabSelected="1" zoomScale="75" zoomScaleNormal="75" workbookViewId="0">
      <selection activeCell="B2" sqref="B2:E3"/>
    </sheetView>
  </sheetViews>
  <sheetFormatPr defaultRowHeight="15" x14ac:dyDescent="0.25"/>
  <cols>
    <col min="1" max="1" width="4.7109375" style="4" customWidth="1"/>
    <col min="2" max="2" width="9.140625" style="4"/>
    <col min="3" max="3" width="14.5703125" style="4" customWidth="1"/>
    <col min="4" max="4" width="9.140625" style="4"/>
    <col min="5" max="5" width="20" style="4" customWidth="1"/>
    <col min="6" max="6" width="9.140625" style="4"/>
    <col min="7" max="7" width="15" style="4" customWidth="1"/>
    <col min="8" max="16384" width="9.140625" style="4"/>
  </cols>
  <sheetData>
    <row r="1" spans="2:17" ht="16.5" customHeight="1" thickBot="1" x14ac:dyDescent="0.3"/>
    <row r="2" spans="2:17" x14ac:dyDescent="0.25">
      <c r="B2" s="162" t="s">
        <v>132</v>
      </c>
      <c r="C2" s="163"/>
      <c r="D2" s="163"/>
      <c r="E2" s="164"/>
    </row>
    <row r="3" spans="2:17" ht="30.75" customHeight="1" thickBot="1" x14ac:dyDescent="0.3">
      <c r="B3" s="165"/>
      <c r="C3" s="166"/>
      <c r="D3" s="166"/>
      <c r="E3" s="167"/>
    </row>
    <row r="4" spans="2:17" ht="24" customHeight="1" thickBot="1" x14ac:dyDescent="0.3">
      <c r="B4" s="168" t="s">
        <v>43</v>
      </c>
      <c r="C4" s="169"/>
      <c r="D4" s="169" t="s">
        <v>133</v>
      </c>
      <c r="E4" s="170"/>
      <c r="P4" s="21"/>
      <c r="Q4" s="21"/>
    </row>
    <row r="5" spans="2:17" ht="27" customHeight="1" x14ac:dyDescent="0.25">
      <c r="B5" s="171" t="s">
        <v>45</v>
      </c>
      <c r="C5" s="172"/>
      <c r="D5" s="173" t="b">
        <f>4&lt;3</f>
        <v>0</v>
      </c>
      <c r="E5" s="174"/>
      <c r="F5" s="21"/>
    </row>
    <row r="6" spans="2:17" ht="27" customHeight="1" x14ac:dyDescent="0.25">
      <c r="B6" s="158" t="s">
        <v>46</v>
      </c>
      <c r="C6" s="159"/>
      <c r="D6" s="160" t="b">
        <f>10=5</f>
        <v>0</v>
      </c>
      <c r="E6" s="161"/>
      <c r="M6"/>
    </row>
    <row r="7" spans="2:17" ht="27" customHeight="1" x14ac:dyDescent="0.25">
      <c r="B7" s="158" t="s">
        <v>47</v>
      </c>
      <c r="C7" s="159"/>
      <c r="D7" s="160" t="b">
        <f>500&gt;50</f>
        <v>1</v>
      </c>
      <c r="E7" s="161"/>
    </row>
    <row r="8" spans="2:17" ht="27" customHeight="1" x14ac:dyDescent="0.25">
      <c r="B8" s="158" t="s">
        <v>48</v>
      </c>
      <c r="C8" s="159"/>
      <c r="D8" s="160" t="b">
        <f>4&lt;&gt;500</f>
        <v>1</v>
      </c>
      <c r="E8" s="161"/>
      <c r="G8" s="21"/>
      <c r="H8" s="21"/>
    </row>
    <row r="9" spans="2:17" ht="27" customHeight="1" x14ac:dyDescent="0.25">
      <c r="B9" s="158" t="s">
        <v>49</v>
      </c>
      <c r="C9" s="159"/>
      <c r="D9" s="160" t="b">
        <f>8&lt;=4</f>
        <v>0</v>
      </c>
      <c r="E9" s="161"/>
      <c r="N9"/>
    </row>
    <row r="10" spans="2:17" ht="27" customHeight="1" x14ac:dyDescent="0.25">
      <c r="B10" s="158" t="s">
        <v>50</v>
      </c>
      <c r="C10" s="159"/>
      <c r="D10" s="160" t="b">
        <f>700=50</f>
        <v>0</v>
      </c>
      <c r="E10" s="161"/>
      <c r="L10"/>
    </row>
    <row r="11" spans="2:17" ht="27" customHeight="1" x14ac:dyDescent="0.25">
      <c r="B11" s="158" t="s">
        <v>51</v>
      </c>
      <c r="C11" s="159"/>
      <c r="D11" s="160" t="b">
        <f>40&lt;6</f>
        <v>0</v>
      </c>
      <c r="E11" s="161"/>
    </row>
    <row r="12" spans="2:17" ht="27" customHeight="1" x14ac:dyDescent="0.25">
      <c r="B12" s="158" t="s">
        <v>52</v>
      </c>
      <c r="C12" s="159"/>
      <c r="D12" s="160" t="b">
        <f>25&lt;7</f>
        <v>0</v>
      </c>
      <c r="E12" s="161"/>
    </row>
    <row r="13" spans="2:17" ht="27" customHeight="1" x14ac:dyDescent="0.25">
      <c r="B13" s="158" t="s">
        <v>128</v>
      </c>
      <c r="C13" s="159"/>
      <c r="D13" s="160" t="b">
        <f>500&gt;=50</f>
        <v>1</v>
      </c>
      <c r="E13" s="161"/>
    </row>
    <row r="14" spans="2:17" ht="27" customHeight="1" x14ac:dyDescent="0.25">
      <c r="B14" s="158" t="s">
        <v>53</v>
      </c>
      <c r="C14" s="159"/>
      <c r="D14" s="160" t="b">
        <f>752&gt;751</f>
        <v>1</v>
      </c>
      <c r="E14" s="161"/>
    </row>
    <row r="15" spans="2:17" ht="27" customHeight="1" thickBot="1" x14ac:dyDescent="0.3">
      <c r="B15" s="175" t="s">
        <v>54</v>
      </c>
      <c r="C15" s="176"/>
      <c r="D15" s="177" t="b">
        <f>600&gt;75</f>
        <v>1</v>
      </c>
      <c r="E15" s="178"/>
    </row>
  </sheetData>
  <mergeCells count="25">
    <mergeCell ref="B13:C13"/>
    <mergeCell ref="D13:E13"/>
    <mergeCell ref="B14:C14"/>
    <mergeCell ref="D14:E14"/>
    <mergeCell ref="B15:C15"/>
    <mergeCell ref="D15:E15"/>
    <mergeCell ref="B10:C10"/>
    <mergeCell ref="D10:E10"/>
    <mergeCell ref="B11:C11"/>
    <mergeCell ref="D11:E11"/>
    <mergeCell ref="B12:C12"/>
    <mergeCell ref="D12:E12"/>
    <mergeCell ref="B7:C7"/>
    <mergeCell ref="D7:E7"/>
    <mergeCell ref="B8:C8"/>
    <mergeCell ref="D8:E8"/>
    <mergeCell ref="B9:C9"/>
    <mergeCell ref="D9:E9"/>
    <mergeCell ref="B6:C6"/>
    <mergeCell ref="D6:E6"/>
    <mergeCell ref="B2:E3"/>
    <mergeCell ref="B4:C4"/>
    <mergeCell ref="D4:E4"/>
    <mergeCell ref="B5:C5"/>
    <mergeCell ref="D5:E5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>
    <tabColor theme="7" tint="0.39997558519241921"/>
  </sheetPr>
  <dimension ref="B1:I17"/>
  <sheetViews>
    <sheetView showGridLines="0" zoomScale="75" zoomScaleNormal="75" workbookViewId="0">
      <selection activeCell="B2" sqref="B2:I3"/>
    </sheetView>
  </sheetViews>
  <sheetFormatPr defaultRowHeight="15" x14ac:dyDescent="0.25"/>
  <cols>
    <col min="1" max="1" width="4.7109375" style="4" customWidth="1"/>
    <col min="2" max="2" width="16.85546875" style="4" bestFit="1" customWidth="1"/>
    <col min="3" max="3" width="17.85546875" style="4" bestFit="1" customWidth="1"/>
    <col min="4" max="9" width="14.85546875" style="4" customWidth="1"/>
    <col min="10" max="16384" width="9.140625" style="4"/>
  </cols>
  <sheetData>
    <row r="1" spans="2:9" ht="16.5" customHeight="1" thickBot="1" x14ac:dyDescent="0.3"/>
    <row r="2" spans="2:9" x14ac:dyDescent="0.25">
      <c r="B2" s="179" t="s">
        <v>0</v>
      </c>
      <c r="C2" s="180"/>
      <c r="D2" s="180"/>
      <c r="E2" s="180"/>
      <c r="F2" s="180"/>
      <c r="G2" s="180"/>
      <c r="H2" s="180"/>
      <c r="I2" s="181"/>
    </row>
    <row r="3" spans="2:9" ht="15.75" thickBot="1" x14ac:dyDescent="0.3">
      <c r="B3" s="182"/>
      <c r="C3" s="183"/>
      <c r="D3" s="183"/>
      <c r="E3" s="183"/>
      <c r="F3" s="183"/>
      <c r="G3" s="183"/>
      <c r="H3" s="183"/>
      <c r="I3" s="184"/>
    </row>
    <row r="4" spans="2:9" ht="21" customHeight="1" thickBot="1" x14ac:dyDescent="0.3">
      <c r="B4" s="42" t="s">
        <v>56</v>
      </c>
      <c r="C4" s="40" t="s">
        <v>55</v>
      </c>
      <c r="D4" s="40" t="s">
        <v>5</v>
      </c>
      <c r="E4" s="40" t="s">
        <v>1</v>
      </c>
      <c r="F4" s="40" t="s">
        <v>3</v>
      </c>
      <c r="G4" s="40" t="s">
        <v>9</v>
      </c>
      <c r="H4" s="40" t="s">
        <v>10</v>
      </c>
      <c r="I4" s="41" t="s">
        <v>7</v>
      </c>
    </row>
    <row r="5" spans="2:9" ht="15.75" x14ac:dyDescent="0.25">
      <c r="B5" s="252">
        <v>5</v>
      </c>
      <c r="C5" s="253">
        <v>7</v>
      </c>
      <c r="D5" s="254"/>
      <c r="E5" s="254"/>
      <c r="F5" s="254"/>
      <c r="G5" s="254"/>
      <c r="H5" s="254"/>
      <c r="I5" s="255"/>
    </row>
    <row r="6" spans="2:9" ht="15.75" x14ac:dyDescent="0.25">
      <c r="B6" s="11">
        <v>4</v>
      </c>
      <c r="C6" s="12">
        <v>4</v>
      </c>
      <c r="D6" s="10"/>
      <c r="E6" s="13"/>
      <c r="F6" s="13"/>
      <c r="G6" s="13"/>
      <c r="H6" s="13"/>
      <c r="I6" s="14"/>
    </row>
    <row r="7" spans="2:9" ht="15.75" x14ac:dyDescent="0.25">
      <c r="B7" s="11">
        <v>2</v>
      </c>
      <c r="C7" s="12">
        <v>5</v>
      </c>
      <c r="D7" s="10"/>
      <c r="E7" s="13"/>
      <c r="F7" s="13"/>
      <c r="G7" s="13"/>
      <c r="H7" s="13"/>
      <c r="I7" s="14"/>
    </row>
    <row r="8" spans="2:9" ht="15.75" x14ac:dyDescent="0.25">
      <c r="B8" s="11">
        <v>6</v>
      </c>
      <c r="C8" s="12">
        <v>6</v>
      </c>
      <c r="D8" s="10"/>
      <c r="E8" s="13"/>
      <c r="F8" s="13"/>
      <c r="G8" s="13"/>
      <c r="H8" s="13"/>
      <c r="I8" s="14"/>
    </row>
    <row r="9" spans="2:9" ht="15.75" x14ac:dyDescent="0.25">
      <c r="B9" s="11">
        <v>4</v>
      </c>
      <c r="C9" s="12">
        <v>3</v>
      </c>
      <c r="D9" s="10"/>
      <c r="E9" s="13"/>
      <c r="F9" s="13"/>
      <c r="G9" s="13"/>
      <c r="H9" s="13"/>
      <c r="I9" s="14"/>
    </row>
    <row r="10" spans="2:9" ht="15.75" x14ac:dyDescent="0.25">
      <c r="B10" s="11">
        <v>2</v>
      </c>
      <c r="C10" s="12">
        <v>1</v>
      </c>
      <c r="D10" s="10"/>
      <c r="E10" s="13"/>
      <c r="F10" s="13"/>
      <c r="G10" s="13"/>
      <c r="H10" s="13"/>
      <c r="I10" s="14"/>
    </row>
    <row r="11" spans="2:9" ht="15.75" x14ac:dyDescent="0.25">
      <c r="B11" s="11">
        <v>2</v>
      </c>
      <c r="C11" s="12">
        <v>7</v>
      </c>
      <c r="D11" s="10"/>
      <c r="E11" s="13"/>
      <c r="F11" s="13"/>
      <c r="G11" s="13"/>
      <c r="H11" s="13"/>
      <c r="I11" s="14"/>
    </row>
    <row r="12" spans="2:9" ht="15.75" x14ac:dyDescent="0.25">
      <c r="B12" s="11">
        <v>4</v>
      </c>
      <c r="C12" s="12">
        <v>2</v>
      </c>
      <c r="D12" s="10"/>
      <c r="E12" s="13"/>
      <c r="F12" s="13"/>
      <c r="G12" s="13"/>
      <c r="H12" s="13"/>
      <c r="I12" s="14"/>
    </row>
    <row r="13" spans="2:9" ht="15.75" x14ac:dyDescent="0.25">
      <c r="B13" s="11">
        <v>6</v>
      </c>
      <c r="C13" s="12">
        <v>5</v>
      </c>
      <c r="D13" s="10"/>
      <c r="E13" s="13"/>
      <c r="F13" s="13"/>
      <c r="G13" s="13"/>
      <c r="H13" s="13"/>
      <c r="I13" s="14"/>
    </row>
    <row r="14" spans="2:9" ht="15.75" x14ac:dyDescent="0.25">
      <c r="B14" s="11">
        <v>3</v>
      </c>
      <c r="C14" s="12">
        <v>3</v>
      </c>
      <c r="D14" s="10"/>
      <c r="E14" s="13"/>
      <c r="F14" s="13"/>
      <c r="G14" s="13"/>
      <c r="H14" s="13"/>
      <c r="I14" s="14"/>
    </row>
    <row r="15" spans="2:9" ht="15.75" x14ac:dyDescent="0.25">
      <c r="B15" s="11">
        <v>4</v>
      </c>
      <c r="C15" s="12">
        <v>9</v>
      </c>
      <c r="D15" s="10"/>
      <c r="E15" s="13"/>
      <c r="F15" s="13"/>
      <c r="G15" s="13"/>
      <c r="H15" s="13"/>
      <c r="I15" s="14"/>
    </row>
    <row r="16" spans="2:9" ht="15.75" x14ac:dyDescent="0.25">
      <c r="B16" s="11">
        <v>8</v>
      </c>
      <c r="C16" s="12">
        <v>8</v>
      </c>
      <c r="D16" s="10"/>
      <c r="E16" s="13"/>
      <c r="F16" s="13"/>
      <c r="G16" s="13"/>
      <c r="H16" s="13"/>
      <c r="I16" s="14"/>
    </row>
    <row r="17" spans="2:9" ht="16.5" thickBot="1" x14ac:dyDescent="0.3">
      <c r="B17" s="256">
        <v>5</v>
      </c>
      <c r="C17" s="257">
        <v>5</v>
      </c>
      <c r="D17" s="258"/>
      <c r="E17" s="259"/>
      <c r="F17" s="259"/>
      <c r="G17" s="259"/>
      <c r="H17" s="259"/>
      <c r="I17" s="260"/>
    </row>
  </sheetData>
  <mergeCells count="1">
    <mergeCell ref="B2:I3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">
    <tabColor theme="7" tint="-0.249977111117893"/>
  </sheetPr>
  <dimension ref="M1:T16"/>
  <sheetViews>
    <sheetView showGridLines="0" zoomScale="75" zoomScaleNormal="75" workbookViewId="0">
      <selection activeCell="M6" sqref="M6:N9"/>
    </sheetView>
  </sheetViews>
  <sheetFormatPr defaultRowHeight="12.75" x14ac:dyDescent="0.2"/>
  <cols>
    <col min="1" max="1" width="4.7109375" customWidth="1"/>
    <col min="12" max="12" width="2" customWidth="1"/>
    <col min="14" max="14" width="13.28515625" customWidth="1"/>
  </cols>
  <sheetData>
    <row r="1" spans="13:20" ht="16.5" customHeight="1" x14ac:dyDescent="0.2"/>
    <row r="3" spans="13:20" ht="13.5" thickBot="1" x14ac:dyDescent="0.25"/>
    <row r="4" spans="13:20" ht="18.75" customHeight="1" x14ac:dyDescent="0.2">
      <c r="M4" s="185" t="s">
        <v>41</v>
      </c>
      <c r="N4" s="186"/>
    </row>
    <row r="5" spans="13:20" ht="13.5" thickBot="1" x14ac:dyDescent="0.25">
      <c r="M5" s="187"/>
      <c r="N5" s="188"/>
    </row>
    <row r="6" spans="13:20" x14ac:dyDescent="0.2">
      <c r="M6" s="269"/>
      <c r="N6" s="270"/>
    </row>
    <row r="7" spans="13:20" x14ac:dyDescent="0.2">
      <c r="M7" s="271"/>
      <c r="N7" s="272"/>
    </row>
    <row r="8" spans="13:20" x14ac:dyDescent="0.2">
      <c r="M8" s="271"/>
      <c r="N8" s="272"/>
    </row>
    <row r="9" spans="13:20" ht="13.5" thickBot="1" x14ac:dyDescent="0.25">
      <c r="M9" s="273"/>
      <c r="N9" s="274"/>
    </row>
    <row r="10" spans="13:20" ht="13.5" thickBot="1" x14ac:dyDescent="0.25"/>
    <row r="11" spans="13:20" x14ac:dyDescent="0.2">
      <c r="M11" s="185" t="s">
        <v>40</v>
      </c>
      <c r="N11" s="186"/>
    </row>
    <row r="12" spans="13:20" ht="17.25" customHeight="1" thickBot="1" x14ac:dyDescent="0.25">
      <c r="M12" s="187"/>
      <c r="N12" s="188"/>
    </row>
    <row r="13" spans="13:20" x14ac:dyDescent="0.2">
      <c r="M13" s="261"/>
      <c r="N13" s="262"/>
      <c r="O13" s="263"/>
      <c r="P13" s="263"/>
      <c r="Q13" s="263"/>
      <c r="R13" s="263"/>
      <c r="S13" s="263"/>
      <c r="T13" s="264"/>
    </row>
    <row r="14" spans="13:20" x14ac:dyDescent="0.2">
      <c r="M14" s="261"/>
      <c r="N14" s="262"/>
      <c r="O14" s="262"/>
      <c r="P14" s="262"/>
      <c r="Q14" s="262"/>
      <c r="R14" s="262"/>
      <c r="S14" s="262"/>
      <c r="T14" s="265"/>
    </row>
    <row r="15" spans="13:20" x14ac:dyDescent="0.2">
      <c r="M15" s="261"/>
      <c r="N15" s="262"/>
      <c r="O15" s="262"/>
      <c r="P15" s="262"/>
      <c r="Q15" s="262"/>
      <c r="R15" s="262"/>
      <c r="S15" s="262"/>
      <c r="T15" s="265"/>
    </row>
    <row r="16" spans="13:20" ht="13.5" thickBot="1" x14ac:dyDescent="0.25">
      <c r="M16" s="266"/>
      <c r="N16" s="267"/>
      <c r="O16" s="267"/>
      <c r="P16" s="267"/>
      <c r="Q16" s="267"/>
      <c r="R16" s="267"/>
      <c r="S16" s="267"/>
      <c r="T16" s="268"/>
    </row>
  </sheetData>
  <mergeCells count="4">
    <mergeCell ref="M4:N5"/>
    <mergeCell ref="M6:N9"/>
    <mergeCell ref="M13:T16"/>
    <mergeCell ref="M11:N12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>
    <tabColor theme="7" tint="-0.249977111117893"/>
  </sheetPr>
  <dimension ref="B1:K20"/>
  <sheetViews>
    <sheetView showGridLines="0" zoomScale="75" zoomScaleNormal="75" workbookViewId="0">
      <selection activeCell="E6" sqref="E6"/>
    </sheetView>
  </sheetViews>
  <sheetFormatPr defaultRowHeight="12.75" x14ac:dyDescent="0.2"/>
  <cols>
    <col min="1" max="1" width="4.7109375" customWidth="1"/>
    <col min="2" max="2" width="26.5703125" customWidth="1"/>
    <col min="3" max="3" width="17" customWidth="1"/>
    <col min="4" max="4" width="19.140625" customWidth="1"/>
    <col min="5" max="5" width="23.42578125" customWidth="1"/>
    <col min="6" max="6" width="9.7109375" bestFit="1" customWidth="1"/>
  </cols>
  <sheetData>
    <row r="1" spans="2:11" ht="16.5" customHeight="1" thickBot="1" x14ac:dyDescent="0.25"/>
    <row r="2" spans="2:11" ht="34.5" customHeight="1" thickBot="1" x14ac:dyDescent="0.35">
      <c r="B2" s="3"/>
      <c r="C2" s="3"/>
      <c r="D2" s="192" t="s">
        <v>134</v>
      </c>
      <c r="E2" s="193"/>
      <c r="F2" s="193"/>
      <c r="G2" s="193"/>
      <c r="H2" s="193"/>
      <c r="I2" s="193"/>
      <c r="J2" s="193"/>
      <c r="K2" s="194"/>
    </row>
    <row r="3" spans="2:11" ht="17.25" customHeight="1" thickBot="1" x14ac:dyDescent="0.25"/>
    <row r="4" spans="2:11" ht="22.5" customHeight="1" thickBot="1" x14ac:dyDescent="0.25">
      <c r="B4" s="189" t="s">
        <v>83</v>
      </c>
      <c r="C4" s="190"/>
      <c r="D4" s="190"/>
      <c r="E4" s="191"/>
    </row>
    <row r="5" spans="2:11" ht="16.5" thickBot="1" x14ac:dyDescent="0.3">
      <c r="B5" s="15" t="s">
        <v>57</v>
      </c>
      <c r="C5" s="16" t="s">
        <v>58</v>
      </c>
      <c r="D5" s="16" t="s">
        <v>59</v>
      </c>
      <c r="E5" s="43" t="s">
        <v>44</v>
      </c>
    </row>
    <row r="6" spans="2:11" ht="15" x14ac:dyDescent="0.2">
      <c r="B6" s="44" t="s">
        <v>60</v>
      </c>
      <c r="C6" s="45">
        <v>976</v>
      </c>
      <c r="D6" s="46">
        <v>11</v>
      </c>
      <c r="E6" s="53"/>
    </row>
    <row r="7" spans="2:11" ht="15" x14ac:dyDescent="0.2">
      <c r="B7" s="47" t="s">
        <v>61</v>
      </c>
      <c r="C7" s="48">
        <v>990</v>
      </c>
      <c r="D7" s="49">
        <v>19</v>
      </c>
      <c r="E7" s="54"/>
    </row>
    <row r="8" spans="2:11" ht="15" x14ac:dyDescent="0.2">
      <c r="B8" s="47" t="s">
        <v>62</v>
      </c>
      <c r="C8" s="48">
        <v>712</v>
      </c>
      <c r="D8" s="49">
        <v>13</v>
      </c>
      <c r="E8" s="54"/>
    </row>
    <row r="9" spans="2:11" ht="15" x14ac:dyDescent="0.2">
      <c r="B9" s="47" t="s">
        <v>63</v>
      </c>
      <c r="C9" s="48">
        <v>965</v>
      </c>
      <c r="D9" s="49">
        <v>8</v>
      </c>
      <c r="E9" s="54"/>
    </row>
    <row r="10" spans="2:11" ht="15" x14ac:dyDescent="0.2">
      <c r="B10" s="47" t="s">
        <v>64</v>
      </c>
      <c r="C10" s="48">
        <v>651</v>
      </c>
      <c r="D10" s="49">
        <v>3</v>
      </c>
      <c r="E10" s="54"/>
    </row>
    <row r="11" spans="2:11" ht="15" x14ac:dyDescent="0.2">
      <c r="B11" s="47" t="s">
        <v>65</v>
      </c>
      <c r="C11" s="48">
        <v>749</v>
      </c>
      <c r="D11" s="49">
        <v>3</v>
      </c>
      <c r="E11" s="54"/>
    </row>
    <row r="12" spans="2:11" ht="15" x14ac:dyDescent="0.2">
      <c r="B12" s="47" t="s">
        <v>66</v>
      </c>
      <c r="C12" s="48">
        <v>721</v>
      </c>
      <c r="D12" s="49">
        <v>20</v>
      </c>
      <c r="E12" s="54"/>
    </row>
    <row r="13" spans="2:11" ht="15" x14ac:dyDescent="0.2">
      <c r="B13" s="47" t="s">
        <v>67</v>
      </c>
      <c r="C13" s="48">
        <v>652</v>
      </c>
      <c r="D13" s="49">
        <v>6</v>
      </c>
      <c r="E13" s="54"/>
    </row>
    <row r="14" spans="2:11" ht="15" x14ac:dyDescent="0.2">
      <c r="B14" s="47" t="s">
        <v>68</v>
      </c>
      <c r="C14" s="48">
        <v>1002</v>
      </c>
      <c r="D14" s="49">
        <v>0</v>
      </c>
      <c r="E14" s="54"/>
    </row>
    <row r="15" spans="2:11" ht="15" x14ac:dyDescent="0.2">
      <c r="B15" s="47" t="s">
        <v>69</v>
      </c>
      <c r="C15" s="48">
        <v>880</v>
      </c>
      <c r="D15" s="49">
        <v>18</v>
      </c>
      <c r="E15" s="54"/>
    </row>
    <row r="16" spans="2:11" ht="15" x14ac:dyDescent="0.2">
      <c r="B16" s="47" t="s">
        <v>70</v>
      </c>
      <c r="C16" s="48">
        <v>947</v>
      </c>
      <c r="D16" s="49">
        <v>5</v>
      </c>
      <c r="E16" s="54"/>
    </row>
    <row r="17" spans="2:5" ht="15" x14ac:dyDescent="0.2">
      <c r="B17" s="47" t="s">
        <v>71</v>
      </c>
      <c r="C17" s="48">
        <v>812</v>
      </c>
      <c r="D17" s="49">
        <v>14</v>
      </c>
      <c r="E17" s="54"/>
    </row>
    <row r="18" spans="2:5" ht="15" x14ac:dyDescent="0.2">
      <c r="B18" s="47" t="s">
        <v>72</v>
      </c>
      <c r="C18" s="48">
        <v>1050</v>
      </c>
      <c r="D18" s="49">
        <v>7</v>
      </c>
      <c r="E18" s="54"/>
    </row>
    <row r="19" spans="2:5" ht="15" x14ac:dyDescent="0.2">
      <c r="B19" s="47" t="s">
        <v>73</v>
      </c>
      <c r="C19" s="48">
        <v>696</v>
      </c>
      <c r="D19" s="49">
        <v>6</v>
      </c>
      <c r="E19" s="54"/>
    </row>
    <row r="20" spans="2:5" ht="15.75" thickBot="1" x14ac:dyDescent="0.25">
      <c r="B20" s="50" t="s">
        <v>74</v>
      </c>
      <c r="C20" s="51">
        <v>884</v>
      </c>
      <c r="D20" s="52">
        <v>11</v>
      </c>
      <c r="E20" s="55"/>
    </row>
  </sheetData>
  <mergeCells count="2">
    <mergeCell ref="B4:E4"/>
    <mergeCell ref="D2:K2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3">
    <tabColor theme="7" tint="0.39997558519241921"/>
  </sheetPr>
  <dimension ref="A1:R46"/>
  <sheetViews>
    <sheetView showGridLines="0" zoomScale="75" zoomScaleNormal="75" workbookViewId="0">
      <selection activeCell="G6" sqref="G6"/>
    </sheetView>
  </sheetViews>
  <sheetFormatPr defaultColWidth="0" defaultRowHeight="12.75" zeroHeight="1" x14ac:dyDescent="0.2"/>
  <cols>
    <col min="1" max="1" width="2.7109375" style="7" customWidth="1"/>
    <col min="2" max="2" width="1.7109375" style="7" customWidth="1"/>
    <col min="3" max="3" width="4.140625" style="7" customWidth="1"/>
    <col min="4" max="4" width="18.42578125" style="7" bestFit="1" customWidth="1"/>
    <col min="5" max="5" width="17.85546875" style="7" bestFit="1" customWidth="1"/>
    <col min="6" max="6" width="16.28515625" style="7" customWidth="1"/>
    <col min="7" max="7" width="16.5703125" style="7" bestFit="1" customWidth="1"/>
    <col min="8" max="14" width="9.140625" style="7" customWidth="1"/>
    <col min="15" max="15" width="1.7109375" style="7" customWidth="1"/>
    <col min="16" max="16" width="2.7109375" style="7" customWidth="1"/>
    <col min="17" max="16384" width="9.140625" style="7" hidden="1"/>
  </cols>
  <sheetData>
    <row r="1" spans="1:18" ht="7.5" customHeight="1" x14ac:dyDescent="0.2">
      <c r="A1" s="66"/>
      <c r="B1" s="66"/>
      <c r="C1" s="66"/>
      <c r="D1" s="66"/>
      <c r="E1" s="66"/>
      <c r="F1" s="66"/>
      <c r="G1" s="66"/>
      <c r="H1" s="66"/>
      <c r="I1" s="66"/>
      <c r="J1" s="66"/>
      <c r="K1" s="66"/>
      <c r="L1" s="66"/>
      <c r="M1" s="66"/>
      <c r="N1" s="66"/>
      <c r="O1" s="66"/>
      <c r="P1" s="66"/>
    </row>
    <row r="2" spans="1:18" ht="7.5" customHeight="1" thickBot="1" x14ac:dyDescent="0.25">
      <c r="A2" s="66"/>
      <c r="P2" s="66"/>
    </row>
    <row r="3" spans="1:18" ht="62.25" customHeight="1" thickBot="1" x14ac:dyDescent="0.25">
      <c r="A3" s="66"/>
      <c r="C3" s="197"/>
      <c r="D3" s="198"/>
      <c r="E3" s="198"/>
      <c r="F3" s="198"/>
      <c r="G3" s="198"/>
      <c r="H3" s="198"/>
      <c r="I3" s="198"/>
      <c r="J3" s="198"/>
      <c r="K3" s="198"/>
      <c r="L3" s="198"/>
      <c r="M3" s="198"/>
      <c r="N3" s="199"/>
      <c r="P3" s="66"/>
    </row>
    <row r="4" spans="1:18" ht="7.5" customHeight="1" thickBot="1" x14ac:dyDescent="0.25">
      <c r="A4" s="66"/>
      <c r="P4" s="66"/>
      <c r="R4"/>
    </row>
    <row r="5" spans="1:18" ht="16.5" customHeight="1" thickBot="1" x14ac:dyDescent="0.25">
      <c r="A5" s="66"/>
      <c r="C5" s="56"/>
      <c r="D5" s="57"/>
      <c r="E5" s="57"/>
      <c r="F5" s="57"/>
      <c r="G5" s="57"/>
      <c r="H5" s="57"/>
      <c r="I5" s="57"/>
      <c r="J5" s="57"/>
      <c r="K5" s="57"/>
      <c r="L5" s="57"/>
      <c r="M5" s="57"/>
      <c r="N5" s="58"/>
      <c r="P5" s="66"/>
    </row>
    <row r="6" spans="1:18" ht="21.75" thickBot="1" x14ac:dyDescent="0.4">
      <c r="A6" s="66"/>
      <c r="C6" s="59"/>
      <c r="D6" s="195" t="s">
        <v>135</v>
      </c>
      <c r="E6" s="196"/>
      <c r="F6" s="78" t="s">
        <v>84</v>
      </c>
      <c r="G6" s="69">
        <v>25000</v>
      </c>
      <c r="H6" s="60"/>
      <c r="I6" s="60"/>
      <c r="J6" s="60"/>
      <c r="K6" s="60"/>
      <c r="L6" s="60"/>
      <c r="M6" s="60"/>
      <c r="N6" s="61"/>
      <c r="P6" s="66"/>
    </row>
    <row r="7" spans="1:18" ht="8.25" customHeight="1" thickBot="1" x14ac:dyDescent="0.25">
      <c r="A7" s="66"/>
      <c r="C7" s="59"/>
      <c r="D7" s="62"/>
      <c r="E7" s="62"/>
      <c r="F7" s="60"/>
      <c r="G7" s="60"/>
      <c r="H7" s="60"/>
      <c r="I7" s="60"/>
      <c r="J7" s="60"/>
      <c r="K7" s="60"/>
      <c r="L7" s="60"/>
      <c r="M7" s="60"/>
      <c r="N7" s="61"/>
      <c r="P7" s="66"/>
    </row>
    <row r="8" spans="1:18" ht="15.75" thickBot="1" x14ac:dyDescent="0.3">
      <c r="A8" s="66"/>
      <c r="C8" s="59"/>
      <c r="D8" s="8" t="s">
        <v>85</v>
      </c>
      <c r="E8" s="9" t="s">
        <v>86</v>
      </c>
      <c r="F8" s="67" t="s">
        <v>19</v>
      </c>
      <c r="G8" s="68" t="s">
        <v>20</v>
      </c>
      <c r="H8" s="60"/>
      <c r="I8" s="60"/>
      <c r="J8" s="60"/>
      <c r="K8" s="60"/>
      <c r="L8" s="60"/>
      <c r="M8" s="60"/>
      <c r="N8" s="61"/>
      <c r="P8" s="66"/>
    </row>
    <row r="9" spans="1:18" x14ac:dyDescent="0.2">
      <c r="A9" s="66"/>
      <c r="C9" s="59"/>
      <c r="D9" s="70" t="s">
        <v>87</v>
      </c>
      <c r="E9" s="71">
        <v>31028</v>
      </c>
      <c r="F9" s="72"/>
      <c r="G9" s="73"/>
      <c r="H9" s="60"/>
      <c r="I9" s="60"/>
      <c r="J9" s="60"/>
      <c r="K9" s="60"/>
      <c r="L9" s="60"/>
      <c r="M9" s="60"/>
      <c r="N9" s="61"/>
      <c r="P9" s="66"/>
    </row>
    <row r="10" spans="1:18" x14ac:dyDescent="0.2">
      <c r="A10" s="66"/>
      <c r="C10" s="59"/>
      <c r="D10" s="70" t="s">
        <v>88</v>
      </c>
      <c r="E10" s="71">
        <v>19745</v>
      </c>
      <c r="F10" s="72"/>
      <c r="G10" s="73"/>
      <c r="H10" s="60"/>
      <c r="I10" s="60"/>
      <c r="J10" s="60"/>
      <c r="K10" s="60"/>
      <c r="L10" s="60"/>
      <c r="M10" s="60"/>
      <c r="N10" s="61"/>
      <c r="P10" s="66"/>
    </row>
    <row r="11" spans="1:18" x14ac:dyDescent="0.2">
      <c r="A11" s="66"/>
      <c r="C11" s="59"/>
      <c r="D11" s="70" t="s">
        <v>89</v>
      </c>
      <c r="E11" s="71">
        <v>51637</v>
      </c>
      <c r="F11" s="72"/>
      <c r="G11" s="73"/>
      <c r="H11" s="60"/>
      <c r="I11" s="60"/>
      <c r="J11" s="60"/>
      <c r="K11" s="60"/>
      <c r="L11" s="60"/>
      <c r="M11" s="60"/>
      <c r="N11" s="61"/>
      <c r="P11" s="66"/>
    </row>
    <row r="12" spans="1:18" x14ac:dyDescent="0.2">
      <c r="A12" s="66"/>
      <c r="C12" s="59"/>
      <c r="D12" s="70" t="s">
        <v>90</v>
      </c>
      <c r="E12" s="71">
        <v>16534</v>
      </c>
      <c r="F12" s="72"/>
      <c r="G12" s="73"/>
      <c r="H12" s="60"/>
      <c r="I12" s="60"/>
      <c r="J12" s="60"/>
      <c r="K12" s="60"/>
      <c r="L12" s="60"/>
      <c r="M12" s="60"/>
      <c r="N12" s="61"/>
      <c r="P12" s="66"/>
    </row>
    <row r="13" spans="1:18" x14ac:dyDescent="0.2">
      <c r="A13" s="66"/>
      <c r="C13" s="59"/>
      <c r="D13" s="70" t="s">
        <v>91</v>
      </c>
      <c r="E13" s="71">
        <v>29264</v>
      </c>
      <c r="F13" s="72"/>
      <c r="G13" s="73"/>
      <c r="H13" s="60"/>
      <c r="I13" s="60"/>
      <c r="J13" s="60"/>
      <c r="K13" s="60"/>
      <c r="L13" s="60"/>
      <c r="M13" s="60"/>
      <c r="N13" s="61"/>
      <c r="P13" s="66"/>
    </row>
    <row r="14" spans="1:18" x14ac:dyDescent="0.2">
      <c r="A14" s="66"/>
      <c r="C14" s="59"/>
      <c r="D14" s="70" t="s">
        <v>92</v>
      </c>
      <c r="E14" s="71">
        <v>54940</v>
      </c>
      <c r="F14" s="72"/>
      <c r="G14" s="73"/>
      <c r="H14" s="60"/>
      <c r="I14" s="60"/>
      <c r="J14" s="60"/>
      <c r="K14" s="60"/>
      <c r="L14" s="60"/>
      <c r="M14" s="60"/>
      <c r="N14" s="61"/>
      <c r="P14" s="66"/>
    </row>
    <row r="15" spans="1:18" x14ac:dyDescent="0.2">
      <c r="A15" s="66"/>
      <c r="C15" s="59"/>
      <c r="D15" s="70" t="s">
        <v>93</v>
      </c>
      <c r="E15" s="71">
        <v>25278</v>
      </c>
      <c r="F15" s="72"/>
      <c r="G15" s="73"/>
      <c r="H15" s="60"/>
      <c r="I15" s="60"/>
      <c r="J15" s="60"/>
      <c r="K15" s="60"/>
      <c r="L15" s="60"/>
      <c r="M15" s="60"/>
      <c r="N15" s="61"/>
      <c r="P15" s="66"/>
    </row>
    <row r="16" spans="1:18" x14ac:dyDescent="0.2">
      <c r="A16" s="66"/>
      <c r="C16" s="59"/>
      <c r="D16" s="70" t="s">
        <v>94</v>
      </c>
      <c r="E16" s="71">
        <v>31494</v>
      </c>
      <c r="F16" s="72"/>
      <c r="G16" s="73"/>
      <c r="H16" s="60"/>
      <c r="I16" s="60"/>
      <c r="J16" s="60"/>
      <c r="K16" s="60"/>
      <c r="L16" s="60"/>
      <c r="M16" s="60"/>
      <c r="N16" s="61"/>
      <c r="P16" s="66"/>
    </row>
    <row r="17" spans="1:18" x14ac:dyDescent="0.2">
      <c r="A17" s="66"/>
      <c r="C17" s="59"/>
      <c r="D17" s="70" t="s">
        <v>95</v>
      </c>
      <c r="E17" s="71">
        <v>38713</v>
      </c>
      <c r="F17" s="72"/>
      <c r="G17" s="73"/>
      <c r="H17" s="60"/>
      <c r="I17" s="60"/>
      <c r="J17" s="60"/>
      <c r="K17" s="60"/>
      <c r="L17" s="60"/>
      <c r="M17" s="60"/>
      <c r="N17" s="61"/>
      <c r="P17" s="66"/>
    </row>
    <row r="18" spans="1:18" x14ac:dyDescent="0.2">
      <c r="A18" s="66"/>
      <c r="C18" s="59"/>
      <c r="D18" s="70" t="s">
        <v>96</v>
      </c>
      <c r="E18" s="71">
        <v>21478</v>
      </c>
      <c r="F18" s="72"/>
      <c r="G18" s="73"/>
      <c r="H18" s="60"/>
      <c r="I18" s="60"/>
      <c r="J18" s="60"/>
      <c r="K18" s="60"/>
      <c r="L18" s="60"/>
      <c r="M18" s="60"/>
      <c r="N18" s="61"/>
      <c r="P18" s="66"/>
    </row>
    <row r="19" spans="1:18" x14ac:dyDescent="0.2">
      <c r="A19" s="66"/>
      <c r="C19" s="59"/>
      <c r="D19" s="70" t="s">
        <v>144</v>
      </c>
      <c r="E19" s="71">
        <v>11505</v>
      </c>
      <c r="F19" s="72"/>
      <c r="G19" s="73"/>
      <c r="H19" s="60"/>
      <c r="I19" s="60"/>
      <c r="J19" s="60"/>
      <c r="K19" s="60"/>
      <c r="L19" s="60"/>
      <c r="M19" s="60"/>
      <c r="N19" s="61"/>
      <c r="P19" s="66"/>
    </row>
    <row r="20" spans="1:18" x14ac:dyDescent="0.2">
      <c r="A20" s="66"/>
      <c r="C20" s="59"/>
      <c r="D20" s="70" t="s">
        <v>97</v>
      </c>
      <c r="E20" s="71">
        <v>2907</v>
      </c>
      <c r="F20" s="72"/>
      <c r="G20" s="73"/>
      <c r="H20" s="60"/>
      <c r="I20" s="60"/>
      <c r="J20" s="60"/>
      <c r="K20" s="60"/>
      <c r="L20" s="60"/>
      <c r="M20" s="60"/>
      <c r="N20" s="61"/>
      <c r="P20" s="66"/>
    </row>
    <row r="21" spans="1:18" x14ac:dyDescent="0.2">
      <c r="A21" s="66"/>
      <c r="C21" s="59"/>
      <c r="D21" s="70" t="s">
        <v>98</v>
      </c>
      <c r="E21" s="71">
        <v>30745</v>
      </c>
      <c r="F21" s="72"/>
      <c r="G21" s="73"/>
      <c r="H21" s="60"/>
      <c r="I21" s="60"/>
      <c r="J21" s="60"/>
      <c r="K21" s="60"/>
      <c r="L21" s="60"/>
      <c r="M21" s="60"/>
      <c r="N21" s="61"/>
      <c r="P21" s="66"/>
    </row>
    <row r="22" spans="1:18" x14ac:dyDescent="0.2">
      <c r="A22" s="66"/>
      <c r="C22" s="59"/>
      <c r="D22" s="70" t="s">
        <v>99</v>
      </c>
      <c r="E22" s="71">
        <v>51735</v>
      </c>
      <c r="F22" s="72"/>
      <c r="G22" s="73"/>
      <c r="H22" s="60"/>
      <c r="I22" s="60"/>
      <c r="J22" s="60"/>
      <c r="K22" s="60"/>
      <c r="L22" s="60"/>
      <c r="M22" s="60"/>
      <c r="N22" s="61"/>
      <c r="P22" s="66"/>
    </row>
    <row r="23" spans="1:18" x14ac:dyDescent="0.2">
      <c r="A23" s="66"/>
      <c r="C23" s="59"/>
      <c r="D23" s="70" t="s">
        <v>100</v>
      </c>
      <c r="E23" s="71">
        <v>43826</v>
      </c>
      <c r="F23" s="72"/>
      <c r="G23" s="73"/>
      <c r="H23" s="60"/>
      <c r="I23" s="60"/>
      <c r="J23" s="60"/>
      <c r="K23" s="60"/>
      <c r="L23" s="60"/>
      <c r="M23" s="60"/>
      <c r="N23" s="61"/>
      <c r="P23" s="66"/>
    </row>
    <row r="24" spans="1:18" x14ac:dyDescent="0.2">
      <c r="A24" s="66"/>
      <c r="C24" s="59"/>
      <c r="D24" s="70" t="s">
        <v>101</v>
      </c>
      <c r="E24" s="71">
        <v>3757</v>
      </c>
      <c r="F24" s="72"/>
      <c r="G24" s="73"/>
      <c r="H24" s="60"/>
      <c r="I24" s="60"/>
      <c r="J24" s="60"/>
      <c r="K24" s="60"/>
      <c r="L24" s="60"/>
      <c r="M24" s="60"/>
      <c r="N24" s="61"/>
      <c r="P24" s="66"/>
    </row>
    <row r="25" spans="1:18" x14ac:dyDescent="0.2">
      <c r="A25" s="66"/>
      <c r="C25" s="59"/>
      <c r="D25" s="70" t="s">
        <v>102</v>
      </c>
      <c r="E25" s="71">
        <v>17489</v>
      </c>
      <c r="F25" s="72"/>
      <c r="G25" s="73"/>
      <c r="H25" s="60"/>
      <c r="I25" s="60"/>
      <c r="J25" s="60"/>
      <c r="K25" s="60"/>
      <c r="L25" s="60"/>
      <c r="M25" s="60"/>
      <c r="N25" s="61"/>
      <c r="P25" s="66"/>
    </row>
    <row r="26" spans="1:18" x14ac:dyDescent="0.2">
      <c r="A26" s="66"/>
      <c r="C26" s="59"/>
      <c r="D26" s="70" t="s">
        <v>103</v>
      </c>
      <c r="E26" s="71">
        <v>11759</v>
      </c>
      <c r="F26" s="72"/>
      <c r="G26" s="73"/>
      <c r="H26" s="60"/>
      <c r="I26" s="60"/>
      <c r="J26" s="60"/>
      <c r="K26" s="60"/>
      <c r="L26" s="60"/>
      <c r="M26" s="60"/>
      <c r="N26" s="61"/>
      <c r="P26" s="66"/>
      <c r="R26"/>
    </row>
    <row r="27" spans="1:18" x14ac:dyDescent="0.2">
      <c r="A27" s="66"/>
      <c r="C27" s="59"/>
      <c r="D27" s="70" t="s">
        <v>104</v>
      </c>
      <c r="E27" s="71">
        <v>19698</v>
      </c>
      <c r="F27" s="72"/>
      <c r="G27" s="73"/>
      <c r="H27" s="60"/>
      <c r="I27" s="60"/>
      <c r="J27" s="60"/>
      <c r="K27" s="60"/>
      <c r="L27" s="60"/>
      <c r="M27" s="60"/>
      <c r="N27" s="61"/>
      <c r="P27" s="66"/>
    </row>
    <row r="28" spans="1:18" x14ac:dyDescent="0.2">
      <c r="A28" s="66"/>
      <c r="C28" s="59"/>
      <c r="D28" s="70" t="s">
        <v>105</v>
      </c>
      <c r="E28" s="71">
        <v>49701</v>
      </c>
      <c r="F28" s="72"/>
      <c r="G28" s="73"/>
      <c r="H28" s="60"/>
      <c r="I28" s="60"/>
      <c r="J28" s="60"/>
      <c r="K28" s="60"/>
      <c r="L28" s="60"/>
      <c r="M28" s="60"/>
      <c r="N28" s="61"/>
      <c r="P28" s="66"/>
    </row>
    <row r="29" spans="1:18" x14ac:dyDescent="0.2">
      <c r="A29" s="66"/>
      <c r="C29" s="59"/>
      <c r="D29" s="70" t="s">
        <v>106</v>
      </c>
      <c r="E29" s="71">
        <v>57340</v>
      </c>
      <c r="F29" s="72"/>
      <c r="G29" s="73"/>
      <c r="H29" s="60"/>
      <c r="I29" s="60"/>
      <c r="J29" s="60"/>
      <c r="K29" s="60"/>
      <c r="L29" s="60"/>
      <c r="M29" s="60"/>
      <c r="N29" s="61"/>
      <c r="P29" s="66"/>
    </row>
    <row r="30" spans="1:18" x14ac:dyDescent="0.2">
      <c r="A30" s="66"/>
      <c r="C30" s="59"/>
      <c r="D30" s="70" t="s">
        <v>107</v>
      </c>
      <c r="E30" s="71">
        <v>12047</v>
      </c>
      <c r="F30" s="72"/>
      <c r="G30" s="73"/>
      <c r="H30" s="60"/>
      <c r="I30" s="60"/>
      <c r="J30" s="60"/>
      <c r="K30" s="60"/>
      <c r="L30" s="60"/>
      <c r="M30" s="60"/>
      <c r="N30" s="61"/>
      <c r="P30" s="66"/>
    </row>
    <row r="31" spans="1:18" x14ac:dyDescent="0.2">
      <c r="A31" s="66"/>
      <c r="C31" s="59"/>
      <c r="D31" s="70" t="s">
        <v>108</v>
      </c>
      <c r="E31" s="71">
        <v>44608</v>
      </c>
      <c r="F31" s="72"/>
      <c r="G31" s="73"/>
      <c r="H31" s="60"/>
      <c r="I31" s="60"/>
      <c r="J31" s="60"/>
      <c r="K31" s="60"/>
      <c r="L31" s="60"/>
      <c r="M31" s="60"/>
      <c r="N31" s="61"/>
      <c r="P31" s="66"/>
    </row>
    <row r="32" spans="1:18" x14ac:dyDescent="0.2">
      <c r="A32" s="66"/>
      <c r="C32" s="59"/>
      <c r="D32" s="70" t="s">
        <v>109</v>
      </c>
      <c r="E32" s="71">
        <v>50587</v>
      </c>
      <c r="F32" s="72"/>
      <c r="G32" s="73"/>
      <c r="H32" s="60"/>
      <c r="I32" s="60"/>
      <c r="J32" s="60"/>
      <c r="K32" s="60"/>
      <c r="L32" s="60"/>
      <c r="M32" s="60"/>
      <c r="N32" s="61"/>
      <c r="P32" s="66"/>
    </row>
    <row r="33" spans="1:16" x14ac:dyDescent="0.2">
      <c r="A33" s="66"/>
      <c r="C33" s="59"/>
      <c r="D33" s="70" t="s">
        <v>110</v>
      </c>
      <c r="E33" s="71">
        <v>21754</v>
      </c>
      <c r="F33" s="72"/>
      <c r="G33" s="73"/>
      <c r="H33" s="60"/>
      <c r="I33" s="60"/>
      <c r="J33" s="60"/>
      <c r="K33" s="60"/>
      <c r="L33" s="60"/>
      <c r="M33" s="60"/>
      <c r="N33" s="61"/>
      <c r="P33" s="66"/>
    </row>
    <row r="34" spans="1:16" x14ac:dyDescent="0.2">
      <c r="A34" s="66"/>
      <c r="C34" s="59"/>
      <c r="D34" s="70" t="s">
        <v>111</v>
      </c>
      <c r="E34" s="71">
        <v>59755</v>
      </c>
      <c r="F34" s="72"/>
      <c r="G34" s="73"/>
      <c r="H34" s="60"/>
      <c r="I34" s="60"/>
      <c r="J34" s="60"/>
      <c r="K34" s="60"/>
      <c r="L34" s="60"/>
      <c r="M34" s="60"/>
      <c r="N34" s="61"/>
      <c r="P34" s="66"/>
    </row>
    <row r="35" spans="1:16" x14ac:dyDescent="0.2">
      <c r="A35" s="66"/>
      <c r="C35" s="59"/>
      <c r="D35" s="70" t="s">
        <v>112</v>
      </c>
      <c r="E35" s="71">
        <v>14834</v>
      </c>
      <c r="F35" s="72"/>
      <c r="G35" s="73"/>
      <c r="H35" s="60"/>
      <c r="I35" s="60"/>
      <c r="J35" s="60"/>
      <c r="K35" s="60"/>
      <c r="L35" s="60"/>
      <c r="M35" s="60"/>
      <c r="N35" s="61"/>
      <c r="P35" s="66"/>
    </row>
    <row r="36" spans="1:16" x14ac:dyDescent="0.2">
      <c r="A36" s="66"/>
      <c r="C36" s="59"/>
      <c r="D36" s="70" t="s">
        <v>113</v>
      </c>
      <c r="E36" s="71">
        <v>37121</v>
      </c>
      <c r="F36" s="72"/>
      <c r="G36" s="73"/>
      <c r="H36" s="60"/>
      <c r="I36" s="60"/>
      <c r="J36" s="60"/>
      <c r="K36" s="60"/>
      <c r="L36" s="60"/>
      <c r="M36" s="60"/>
      <c r="N36" s="61"/>
      <c r="P36" s="66"/>
    </row>
    <row r="37" spans="1:16" x14ac:dyDescent="0.2">
      <c r="A37" s="66"/>
      <c r="C37" s="59"/>
      <c r="D37" s="70" t="s">
        <v>114</v>
      </c>
      <c r="E37" s="71">
        <v>58184</v>
      </c>
      <c r="F37" s="72"/>
      <c r="G37" s="73"/>
      <c r="H37" s="60"/>
      <c r="I37" s="60"/>
      <c r="J37" s="60"/>
      <c r="K37" s="60"/>
      <c r="L37" s="60"/>
      <c r="M37" s="60"/>
      <c r="N37" s="61"/>
      <c r="P37" s="66"/>
    </row>
    <row r="38" spans="1:16" x14ac:dyDescent="0.2">
      <c r="A38" s="66"/>
      <c r="C38" s="59"/>
      <c r="D38" s="70" t="s">
        <v>115</v>
      </c>
      <c r="E38" s="71">
        <v>12355</v>
      </c>
      <c r="F38" s="72"/>
      <c r="G38" s="73"/>
      <c r="H38" s="60"/>
      <c r="I38" s="60"/>
      <c r="J38" s="60"/>
      <c r="K38" s="60"/>
      <c r="L38" s="60"/>
      <c r="M38" s="60"/>
      <c r="N38" s="61"/>
      <c r="P38" s="66"/>
    </row>
    <row r="39" spans="1:16" x14ac:dyDescent="0.2">
      <c r="A39" s="66"/>
      <c r="C39" s="59"/>
      <c r="D39" s="70" t="s">
        <v>116</v>
      </c>
      <c r="E39" s="71">
        <v>57613</v>
      </c>
      <c r="F39" s="72"/>
      <c r="G39" s="73"/>
      <c r="H39" s="60"/>
      <c r="I39" s="60"/>
      <c r="J39" s="60"/>
      <c r="K39" s="60"/>
      <c r="L39" s="60"/>
      <c r="M39" s="60"/>
      <c r="N39" s="61"/>
      <c r="P39" s="66"/>
    </row>
    <row r="40" spans="1:16" x14ac:dyDescent="0.2">
      <c r="A40" s="66"/>
      <c r="C40" s="59"/>
      <c r="D40" s="70" t="s">
        <v>117</v>
      </c>
      <c r="E40" s="71">
        <v>23867</v>
      </c>
      <c r="F40" s="72"/>
      <c r="G40" s="73"/>
      <c r="H40" s="60"/>
      <c r="I40" s="60"/>
      <c r="J40" s="60"/>
      <c r="K40" s="60"/>
      <c r="L40" s="60"/>
      <c r="M40" s="60"/>
      <c r="N40" s="61"/>
      <c r="P40" s="66"/>
    </row>
    <row r="41" spans="1:16" x14ac:dyDescent="0.2">
      <c r="A41" s="66"/>
      <c r="C41" s="59"/>
      <c r="D41" s="70" t="s">
        <v>118</v>
      </c>
      <c r="E41" s="71">
        <v>46447</v>
      </c>
      <c r="F41" s="72"/>
      <c r="G41" s="73"/>
      <c r="H41" s="60"/>
      <c r="I41" s="60"/>
      <c r="J41" s="60"/>
      <c r="K41" s="60"/>
      <c r="L41" s="60"/>
      <c r="M41" s="60"/>
      <c r="N41" s="61"/>
      <c r="P41" s="66"/>
    </row>
    <row r="42" spans="1:16" ht="13.5" thickBot="1" x14ac:dyDescent="0.25">
      <c r="A42" s="66"/>
      <c r="C42" s="59"/>
      <c r="D42" s="74" t="s">
        <v>119</v>
      </c>
      <c r="E42" s="75">
        <v>55202</v>
      </c>
      <c r="F42" s="76"/>
      <c r="G42" s="77"/>
      <c r="H42" s="60"/>
      <c r="I42" s="60"/>
      <c r="J42" s="60"/>
      <c r="K42" s="60"/>
      <c r="L42" s="60"/>
      <c r="M42" s="60"/>
      <c r="N42" s="61"/>
      <c r="P42" s="66"/>
    </row>
    <row r="43" spans="1:16" x14ac:dyDescent="0.2">
      <c r="A43" s="66"/>
      <c r="C43" s="59"/>
      <c r="D43" s="60"/>
      <c r="E43" s="60"/>
      <c r="F43" s="60"/>
      <c r="G43" s="60"/>
      <c r="H43" s="60"/>
      <c r="I43" s="60"/>
      <c r="J43" s="60"/>
      <c r="K43" s="60"/>
      <c r="L43" s="60"/>
      <c r="M43" s="60"/>
      <c r="N43" s="61"/>
      <c r="P43" s="66"/>
    </row>
    <row r="44" spans="1:16" ht="13.5" thickBot="1" x14ac:dyDescent="0.25">
      <c r="A44" s="66"/>
      <c r="C44" s="63"/>
      <c r="D44" s="64"/>
      <c r="E44" s="64"/>
      <c r="F44" s="64"/>
      <c r="G44" s="64"/>
      <c r="H44" s="64"/>
      <c r="I44" s="64"/>
      <c r="J44" s="64"/>
      <c r="K44" s="64"/>
      <c r="L44" s="64"/>
      <c r="M44" s="64"/>
      <c r="N44" s="65"/>
      <c r="P44" s="66"/>
    </row>
    <row r="45" spans="1:16" x14ac:dyDescent="0.2">
      <c r="A45" s="66"/>
      <c r="P45" s="66"/>
    </row>
    <row r="46" spans="1:16" x14ac:dyDescent="0.2">
      <c r="A46" s="66"/>
      <c r="B46" s="66"/>
      <c r="C46" s="66"/>
      <c r="D46" s="66"/>
      <c r="E46" s="66"/>
      <c r="F46" s="66"/>
      <c r="G46" s="66"/>
      <c r="H46" s="66"/>
      <c r="I46" s="66"/>
      <c r="J46" s="66"/>
      <c r="K46" s="66"/>
      <c r="L46" s="66"/>
      <c r="M46" s="66"/>
      <c r="N46" s="66"/>
      <c r="O46" s="66"/>
      <c r="P46" s="66"/>
    </row>
  </sheetData>
  <mergeCells count="2">
    <mergeCell ref="D6:E6"/>
    <mergeCell ref="C3:N3"/>
  </mergeCells>
  <pageMargins left="0.511811024" right="0.511811024" top="0.78740157499999996" bottom="0.78740157499999996" header="0.31496062000000002" footer="0.31496062000000002"/>
  <pageSetup paperSize="9" orientation="portrait" horizontalDpi="4294967293" verticalDpi="4294967293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7">
    <tabColor theme="7" tint="0.39997558519241921"/>
  </sheetPr>
  <dimension ref="A1:T29"/>
  <sheetViews>
    <sheetView showGridLines="0" zoomScale="75" zoomScaleNormal="75" workbookViewId="0">
      <selection activeCell="H19" sqref="H19"/>
    </sheetView>
  </sheetViews>
  <sheetFormatPr defaultColWidth="0" defaultRowHeight="12.75" zeroHeight="1" x14ac:dyDescent="0.2"/>
  <cols>
    <col min="1" max="1" width="2.7109375" style="122" customWidth="1"/>
    <col min="2" max="3" width="1.7109375" customWidth="1"/>
    <col min="4" max="4" width="17.7109375" customWidth="1"/>
    <col min="5" max="5" width="24.5703125" customWidth="1"/>
    <col min="6" max="6" width="3.7109375" customWidth="1"/>
    <col min="7" max="7" width="15.140625" customWidth="1"/>
    <col min="8" max="8" width="27.42578125" customWidth="1"/>
    <col min="9" max="9" width="3.7109375" customWidth="1"/>
    <col min="10" max="11" width="9.85546875" customWidth="1"/>
    <col min="12" max="12" width="21.42578125" customWidth="1"/>
    <col min="13" max="13" width="9.140625" customWidth="1"/>
    <col min="14" max="14" width="1.7109375" customWidth="1"/>
    <col min="15" max="15" width="2.7109375" style="122" customWidth="1"/>
    <col min="16" max="19" width="9.140625" hidden="1" customWidth="1"/>
    <col min="20" max="20" width="12.140625" hidden="1" customWidth="1"/>
    <col min="21" max="16384" width="9.140625" hidden="1"/>
  </cols>
  <sheetData>
    <row r="1" spans="1:15" s="122" customFormat="1" ht="7.5" customHeight="1" x14ac:dyDescent="0.2">
      <c r="F1" s="123"/>
    </row>
    <row r="2" spans="1:15" ht="7.5" customHeight="1" thickBot="1" x14ac:dyDescent="0.25">
      <c r="F2" s="6"/>
    </row>
    <row r="3" spans="1:15" ht="62.25" customHeight="1" thickBot="1" x14ac:dyDescent="0.25">
      <c r="C3" s="200"/>
      <c r="D3" s="201"/>
      <c r="E3" s="201"/>
      <c r="F3" s="201"/>
      <c r="G3" s="201"/>
      <c r="H3" s="201"/>
      <c r="I3" s="201"/>
      <c r="J3" s="201"/>
      <c r="K3" s="201"/>
      <c r="L3" s="201"/>
      <c r="M3" s="202"/>
    </row>
    <row r="4" spans="1:15" ht="7.5" customHeight="1" thickBot="1" x14ac:dyDescent="0.25">
      <c r="F4" s="6"/>
    </row>
    <row r="5" spans="1:15" ht="10.5" customHeight="1" x14ac:dyDescent="0.2">
      <c r="C5" s="108"/>
      <c r="D5" s="109"/>
      <c r="E5" s="109"/>
      <c r="F5" s="109"/>
      <c r="G5" s="109"/>
      <c r="H5" s="109"/>
      <c r="I5" s="109"/>
      <c r="J5" s="109"/>
      <c r="K5" s="109"/>
      <c r="L5" s="109"/>
      <c r="M5" s="110"/>
    </row>
    <row r="6" spans="1:15" s="5" customFormat="1" ht="28.5" customHeight="1" x14ac:dyDescent="0.2">
      <c r="A6" s="124"/>
      <c r="C6" s="115"/>
      <c r="D6" s="209" t="s">
        <v>79</v>
      </c>
      <c r="E6" s="209"/>
      <c r="F6" s="111"/>
      <c r="G6" s="211" t="s">
        <v>78</v>
      </c>
      <c r="H6" s="212"/>
      <c r="I6" s="111"/>
      <c r="J6" s="211" t="s">
        <v>136</v>
      </c>
      <c r="K6" s="217"/>
      <c r="L6" s="212"/>
      <c r="M6" s="119"/>
      <c r="O6" s="122"/>
    </row>
    <row r="7" spans="1:15" s="5" customFormat="1" ht="15" customHeight="1" x14ac:dyDescent="0.2">
      <c r="A7" s="124"/>
      <c r="C7" s="115"/>
      <c r="D7" s="210"/>
      <c r="E7" s="210"/>
      <c r="F7" s="111"/>
      <c r="G7" s="213"/>
      <c r="H7" s="214"/>
      <c r="I7" s="111"/>
      <c r="J7" s="213"/>
      <c r="K7" s="218"/>
      <c r="L7" s="214"/>
      <c r="M7" s="119"/>
      <c r="O7" s="124"/>
    </row>
    <row r="8" spans="1:15" ht="18" x14ac:dyDescent="0.25">
      <c r="C8" s="116"/>
      <c r="D8" s="126" t="s">
        <v>3</v>
      </c>
      <c r="E8" s="127" t="s">
        <v>4</v>
      </c>
      <c r="F8" s="112"/>
      <c r="G8" s="126" t="s">
        <v>1</v>
      </c>
      <c r="H8" s="127" t="s">
        <v>2</v>
      </c>
      <c r="I8" s="112"/>
      <c r="J8" s="215" t="s">
        <v>7</v>
      </c>
      <c r="K8" s="216"/>
      <c r="L8" s="127" t="s">
        <v>8</v>
      </c>
      <c r="M8" s="118"/>
    </row>
    <row r="9" spans="1:15" x14ac:dyDescent="0.2">
      <c r="C9" s="116"/>
      <c r="D9" s="94">
        <v>1300</v>
      </c>
      <c r="E9" s="87"/>
      <c r="F9" s="112"/>
      <c r="G9" s="96">
        <v>10</v>
      </c>
      <c r="H9" s="87"/>
      <c r="I9" s="112"/>
      <c r="J9" s="89" t="s">
        <v>12</v>
      </c>
      <c r="K9" s="98" t="s">
        <v>12</v>
      </c>
      <c r="L9" s="90"/>
      <c r="M9" s="118"/>
    </row>
    <row r="10" spans="1:15" x14ac:dyDescent="0.2">
      <c r="C10" s="116"/>
      <c r="D10" s="94">
        <v>800</v>
      </c>
      <c r="E10" s="107"/>
      <c r="F10" s="112"/>
      <c r="G10" s="96">
        <v>6</v>
      </c>
      <c r="H10" s="87"/>
      <c r="I10" s="112"/>
      <c r="J10" s="89" t="s">
        <v>75</v>
      </c>
      <c r="K10" s="98" t="s">
        <v>13</v>
      </c>
      <c r="L10" s="90"/>
      <c r="M10" s="118"/>
    </row>
    <row r="11" spans="1:15" x14ac:dyDescent="0.2">
      <c r="C11" s="116"/>
      <c r="D11" s="94">
        <v>465</v>
      </c>
      <c r="E11" s="87"/>
      <c r="F11" s="112"/>
      <c r="G11" s="96">
        <v>7</v>
      </c>
      <c r="H11" s="87"/>
      <c r="I11" s="112"/>
      <c r="J11" s="91" t="s">
        <v>12</v>
      </c>
      <c r="K11" s="98" t="s">
        <v>14</v>
      </c>
      <c r="L11" s="90"/>
      <c r="M11" s="118"/>
    </row>
    <row r="12" spans="1:15" x14ac:dyDescent="0.2">
      <c r="C12" s="116"/>
      <c r="D12" s="94">
        <v>987</v>
      </c>
      <c r="E12" s="87"/>
      <c r="F12" s="112"/>
      <c r="G12" s="96">
        <v>8</v>
      </c>
      <c r="H12" s="87"/>
      <c r="I12" s="112"/>
      <c r="J12" s="91" t="s">
        <v>15</v>
      </c>
      <c r="K12" s="98" t="s">
        <v>15</v>
      </c>
      <c r="L12" s="90"/>
      <c r="M12" s="118"/>
    </row>
    <row r="13" spans="1:15" x14ac:dyDescent="0.2">
      <c r="C13" s="116"/>
      <c r="D13" s="94">
        <v>600</v>
      </c>
      <c r="E13" s="87"/>
      <c r="F13" s="112"/>
      <c r="G13" s="96">
        <v>5</v>
      </c>
      <c r="H13" s="87"/>
      <c r="I13" s="112"/>
      <c r="J13" s="91" t="s">
        <v>16</v>
      </c>
      <c r="K13" s="98" t="s">
        <v>16</v>
      </c>
      <c r="L13" s="90"/>
      <c r="M13" s="118"/>
    </row>
    <row r="14" spans="1:15" x14ac:dyDescent="0.2">
      <c r="C14" s="116"/>
      <c r="D14" s="95">
        <v>1200</v>
      </c>
      <c r="E14" s="88"/>
      <c r="F14" s="112"/>
      <c r="G14" s="97">
        <v>2</v>
      </c>
      <c r="H14" s="88"/>
      <c r="I14" s="112"/>
      <c r="J14" s="92" t="s">
        <v>15</v>
      </c>
      <c r="K14" s="99" t="s">
        <v>17</v>
      </c>
      <c r="L14" s="93"/>
      <c r="M14" s="118"/>
    </row>
    <row r="15" spans="1:15" x14ac:dyDescent="0.2">
      <c r="C15" s="116"/>
      <c r="D15" s="112"/>
      <c r="E15" s="112"/>
      <c r="F15" s="112"/>
      <c r="G15" s="112"/>
      <c r="H15" s="112"/>
      <c r="I15" s="112"/>
      <c r="J15" s="112"/>
      <c r="K15" s="112"/>
      <c r="L15" s="112"/>
      <c r="M15" s="118"/>
    </row>
    <row r="16" spans="1:15" ht="33" customHeight="1" x14ac:dyDescent="0.2">
      <c r="C16" s="116"/>
      <c r="D16" s="211" t="s">
        <v>137</v>
      </c>
      <c r="E16" s="212"/>
      <c r="F16" s="113"/>
      <c r="G16" s="211" t="s">
        <v>145</v>
      </c>
      <c r="H16" s="212"/>
      <c r="I16" s="112"/>
      <c r="J16" s="211" t="s">
        <v>138</v>
      </c>
      <c r="K16" s="217"/>
      <c r="L16" s="212"/>
      <c r="M16" s="118"/>
    </row>
    <row r="17" spans="3:13" ht="19.5" customHeight="1" x14ac:dyDescent="0.2">
      <c r="C17" s="116"/>
      <c r="D17" s="213"/>
      <c r="E17" s="214"/>
      <c r="F17" s="113"/>
      <c r="G17" s="213"/>
      <c r="H17" s="214"/>
      <c r="I17" s="112"/>
      <c r="J17" s="213"/>
      <c r="K17" s="218"/>
      <c r="L17" s="214"/>
      <c r="M17" s="118"/>
    </row>
    <row r="18" spans="3:13" ht="18" x14ac:dyDescent="0.25">
      <c r="C18" s="116"/>
      <c r="D18" s="126" t="s">
        <v>9</v>
      </c>
      <c r="E18" s="127" t="s">
        <v>18</v>
      </c>
      <c r="F18" s="113"/>
      <c r="G18" s="126" t="s">
        <v>10</v>
      </c>
      <c r="H18" s="127" t="s">
        <v>18</v>
      </c>
      <c r="I18" s="112"/>
      <c r="J18" s="126" t="s">
        <v>5</v>
      </c>
      <c r="K18" s="207" t="s">
        <v>6</v>
      </c>
      <c r="L18" s="208"/>
      <c r="M18" s="118"/>
    </row>
    <row r="19" spans="3:13" x14ac:dyDescent="0.2">
      <c r="C19" s="116"/>
      <c r="D19" s="100">
        <v>0.95</v>
      </c>
      <c r="E19" s="87"/>
      <c r="F19" s="112"/>
      <c r="G19" s="102">
        <v>1</v>
      </c>
      <c r="H19" s="87"/>
      <c r="I19" s="112"/>
      <c r="J19" s="104" t="s">
        <v>38</v>
      </c>
      <c r="K19" s="203"/>
      <c r="L19" s="204"/>
      <c r="M19" s="118"/>
    </row>
    <row r="20" spans="3:13" x14ac:dyDescent="0.2">
      <c r="C20" s="116"/>
      <c r="D20" s="100">
        <v>1.22</v>
      </c>
      <c r="E20" s="87"/>
      <c r="F20" s="112"/>
      <c r="G20" s="102">
        <v>2</v>
      </c>
      <c r="H20" s="87"/>
      <c r="I20" s="112"/>
      <c r="J20" s="104" t="s">
        <v>11</v>
      </c>
      <c r="K20" s="203"/>
      <c r="L20" s="204"/>
      <c r="M20" s="118"/>
    </row>
    <row r="21" spans="3:13" x14ac:dyDescent="0.2">
      <c r="C21" s="116"/>
      <c r="D21" s="100">
        <v>2.6</v>
      </c>
      <c r="E21" s="87"/>
      <c r="F21" s="112"/>
      <c r="G21" s="102">
        <v>3</v>
      </c>
      <c r="H21" s="87"/>
      <c r="I21" s="112"/>
      <c r="J21" s="105" t="s">
        <v>37</v>
      </c>
      <c r="K21" s="203"/>
      <c r="L21" s="204"/>
      <c r="M21" s="118"/>
    </row>
    <row r="22" spans="3:13" x14ac:dyDescent="0.2">
      <c r="C22" s="116"/>
      <c r="D22" s="100">
        <v>1.8</v>
      </c>
      <c r="E22" s="87"/>
      <c r="F22" s="112"/>
      <c r="G22" s="102">
        <v>4</v>
      </c>
      <c r="H22" s="87"/>
      <c r="I22" s="112"/>
      <c r="J22" s="105" t="s">
        <v>76</v>
      </c>
      <c r="K22" s="203"/>
      <c r="L22" s="204"/>
      <c r="M22" s="118"/>
    </row>
    <row r="23" spans="3:13" x14ac:dyDescent="0.2">
      <c r="C23" s="116"/>
      <c r="D23" s="100">
        <v>0.5</v>
      </c>
      <c r="E23" s="87"/>
      <c r="F23" s="112"/>
      <c r="G23" s="102">
        <v>5</v>
      </c>
      <c r="H23" s="87"/>
      <c r="I23" s="112"/>
      <c r="J23" s="105" t="s">
        <v>77</v>
      </c>
      <c r="K23" s="203"/>
      <c r="L23" s="204"/>
      <c r="M23" s="118"/>
    </row>
    <row r="24" spans="3:13" x14ac:dyDescent="0.2">
      <c r="C24" s="116"/>
      <c r="D24" s="100">
        <v>2.64</v>
      </c>
      <c r="E24" s="87"/>
      <c r="F24" s="112"/>
      <c r="G24" s="102">
        <v>6</v>
      </c>
      <c r="H24" s="87"/>
      <c r="I24" s="112"/>
      <c r="J24" s="105" t="s">
        <v>129</v>
      </c>
      <c r="K24" s="203"/>
      <c r="L24" s="204"/>
      <c r="M24" s="118"/>
    </row>
    <row r="25" spans="3:13" x14ac:dyDescent="0.2">
      <c r="C25" s="116"/>
      <c r="D25" s="101">
        <v>1</v>
      </c>
      <c r="E25" s="88"/>
      <c r="F25" s="112"/>
      <c r="G25" s="103">
        <v>7</v>
      </c>
      <c r="H25" s="88"/>
      <c r="I25" s="112"/>
      <c r="J25" s="106" t="s">
        <v>39</v>
      </c>
      <c r="K25" s="205"/>
      <c r="L25" s="206"/>
      <c r="M25" s="118"/>
    </row>
    <row r="26" spans="3:13" x14ac:dyDescent="0.2">
      <c r="C26" s="116"/>
      <c r="D26" s="112"/>
      <c r="E26" s="112"/>
      <c r="F26" s="112"/>
      <c r="G26" s="112"/>
      <c r="H26" s="121"/>
      <c r="I26" s="112"/>
      <c r="J26" s="112"/>
      <c r="K26" s="112"/>
      <c r="L26" s="112"/>
      <c r="M26" s="118"/>
    </row>
    <row r="27" spans="3:13" ht="13.5" thickBot="1" x14ac:dyDescent="0.25">
      <c r="C27" s="117"/>
      <c r="D27" s="114"/>
      <c r="E27" s="114"/>
      <c r="F27" s="114"/>
      <c r="G27" s="114"/>
      <c r="H27" s="114"/>
      <c r="I27" s="114"/>
      <c r="J27" s="114"/>
      <c r="K27" s="114"/>
      <c r="L27" s="114"/>
      <c r="M27" s="120"/>
    </row>
    <row r="28" spans="3:13" ht="7.5" customHeight="1" x14ac:dyDescent="0.2">
      <c r="D28" s="2"/>
      <c r="I28" s="1"/>
    </row>
    <row r="29" spans="3:13" s="122" customFormat="1" x14ac:dyDescent="0.2">
      <c r="D29" s="125"/>
      <c r="E29" s="125"/>
      <c r="F29" s="125"/>
      <c r="G29" s="125"/>
    </row>
  </sheetData>
  <mergeCells count="16">
    <mergeCell ref="C3:M3"/>
    <mergeCell ref="K23:L23"/>
    <mergeCell ref="K24:L24"/>
    <mergeCell ref="K25:L25"/>
    <mergeCell ref="K18:L18"/>
    <mergeCell ref="K19:L19"/>
    <mergeCell ref="K20:L20"/>
    <mergeCell ref="K21:L21"/>
    <mergeCell ref="K22:L22"/>
    <mergeCell ref="D6:E7"/>
    <mergeCell ref="G6:H7"/>
    <mergeCell ref="D16:E17"/>
    <mergeCell ref="G16:H17"/>
    <mergeCell ref="J8:K8"/>
    <mergeCell ref="J6:L7"/>
    <mergeCell ref="J16:L17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8">
    <tabColor theme="7" tint="0.39997558519241921"/>
  </sheetPr>
  <dimension ref="A1:T45"/>
  <sheetViews>
    <sheetView showGridLines="0" zoomScale="75" zoomScaleNormal="75" workbookViewId="0">
      <selection activeCell="D5" sqref="D5:E5"/>
    </sheetView>
  </sheetViews>
  <sheetFormatPr defaultColWidth="0" defaultRowHeight="12.75" zeroHeight="1" x14ac:dyDescent="0.2"/>
  <cols>
    <col min="1" max="1" width="2.7109375" style="122" customWidth="1"/>
    <col min="2" max="2" width="1.7109375" customWidth="1"/>
    <col min="3" max="3" width="9.140625" customWidth="1"/>
    <col min="4" max="4" width="14.140625" customWidth="1"/>
    <col min="5" max="5" width="15.140625" customWidth="1"/>
    <col min="6" max="6" width="16" customWidth="1"/>
    <col min="7" max="7" width="17.85546875" customWidth="1"/>
    <col min="8" max="11" width="9.140625" customWidth="1"/>
    <col min="12" max="17" width="11" customWidth="1"/>
    <col min="18" max="18" width="9.140625" customWidth="1"/>
    <col min="19" max="19" width="1.7109375" customWidth="1"/>
    <col min="20" max="20" width="2.7109375" style="122" customWidth="1"/>
    <col min="21" max="16384" width="9.140625" hidden="1"/>
  </cols>
  <sheetData>
    <row r="1" spans="3:18" s="122" customFormat="1" ht="7.5" customHeight="1" x14ac:dyDescent="0.2"/>
    <row r="2" spans="3:18" ht="7.5" customHeight="1" thickBot="1" x14ac:dyDescent="0.25"/>
    <row r="3" spans="3:18" ht="63" customHeight="1" thickBot="1" x14ac:dyDescent="0.25">
      <c r="C3" s="200"/>
      <c r="D3" s="201"/>
      <c r="E3" s="201"/>
      <c r="F3" s="201"/>
      <c r="G3" s="201"/>
      <c r="H3" s="201"/>
      <c r="I3" s="201"/>
      <c r="J3" s="201"/>
      <c r="K3" s="201"/>
      <c r="L3" s="201"/>
      <c r="M3" s="201"/>
      <c r="N3" s="201"/>
      <c r="O3" s="201"/>
      <c r="P3" s="201"/>
      <c r="Q3" s="201"/>
      <c r="R3" s="202"/>
    </row>
    <row r="4" spans="3:18" ht="7.5" customHeight="1" thickBot="1" x14ac:dyDescent="0.25"/>
    <row r="5" spans="3:18" x14ac:dyDescent="0.2">
      <c r="C5" s="79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0"/>
      <c r="Q5" s="80"/>
      <c r="R5" s="81"/>
    </row>
    <row r="6" spans="3:18" ht="15.75" customHeight="1" x14ac:dyDescent="0.25">
      <c r="C6" s="128" t="s">
        <v>21</v>
      </c>
      <c r="D6" s="22" t="s">
        <v>80</v>
      </c>
      <c r="E6" s="23"/>
      <c r="F6" s="23"/>
      <c r="G6" s="23"/>
      <c r="H6" s="23"/>
      <c r="I6" s="23"/>
      <c r="J6" s="24"/>
      <c r="K6" s="129"/>
      <c r="R6" s="83"/>
    </row>
    <row r="7" spans="3:18" ht="15.75" x14ac:dyDescent="0.25">
      <c r="C7" s="82"/>
      <c r="D7" s="25"/>
      <c r="E7" s="26"/>
      <c r="F7" s="26"/>
      <c r="G7" s="26"/>
      <c r="H7" s="26"/>
      <c r="I7" s="26"/>
      <c r="J7" s="27"/>
      <c r="K7" s="129"/>
      <c r="R7" s="83"/>
    </row>
    <row r="8" spans="3:18" x14ac:dyDescent="0.2">
      <c r="C8" s="82"/>
      <c r="D8" s="6"/>
      <c r="E8" s="6"/>
      <c r="F8" s="6"/>
      <c r="G8" s="6"/>
      <c r="H8" s="6"/>
      <c r="I8" s="6"/>
      <c r="J8" s="6"/>
      <c r="K8" s="6"/>
      <c r="R8" s="83"/>
    </row>
    <row r="9" spans="3:18" ht="16.5" customHeight="1" x14ac:dyDescent="0.25">
      <c r="C9" s="82"/>
      <c r="D9" s="132" t="s">
        <v>22</v>
      </c>
      <c r="E9" s="133" t="s">
        <v>23</v>
      </c>
      <c r="F9" s="134" t="s">
        <v>24</v>
      </c>
      <c r="G9" s="6"/>
      <c r="H9" s="6"/>
      <c r="I9" s="6"/>
      <c r="J9" s="6"/>
      <c r="K9" s="6"/>
      <c r="L9" s="225" t="s">
        <v>139</v>
      </c>
      <c r="M9" s="226"/>
      <c r="N9" s="226"/>
      <c r="O9" s="226"/>
      <c r="P9" s="226"/>
      <c r="Q9" s="227"/>
      <c r="R9" s="83"/>
    </row>
    <row r="10" spans="3:18" ht="15" x14ac:dyDescent="0.2">
      <c r="C10" s="82"/>
      <c r="D10" s="135" t="s">
        <v>25</v>
      </c>
      <c r="E10" s="136">
        <v>11900</v>
      </c>
      <c r="F10" s="137"/>
      <c r="G10" s="6"/>
      <c r="H10" s="6"/>
      <c r="I10" s="6"/>
      <c r="J10" s="6"/>
      <c r="K10" s="6"/>
      <c r="L10" s="219" t="s">
        <v>142</v>
      </c>
      <c r="M10" s="220"/>
      <c r="N10" s="220"/>
      <c r="O10" s="220"/>
      <c r="P10" s="220"/>
      <c r="Q10" s="221"/>
      <c r="R10" s="83"/>
    </row>
    <row r="11" spans="3:18" ht="15" x14ac:dyDescent="0.2">
      <c r="C11" s="82"/>
      <c r="D11" s="135" t="s">
        <v>26</v>
      </c>
      <c r="E11" s="136">
        <v>12500</v>
      </c>
      <c r="F11" s="137"/>
      <c r="G11" s="6"/>
      <c r="H11" s="6"/>
      <c r="I11" s="6" t="s">
        <v>27</v>
      </c>
      <c r="J11" s="6"/>
      <c r="K11" s="6"/>
      <c r="L11" s="222" t="s">
        <v>141</v>
      </c>
      <c r="M11" s="223"/>
      <c r="N11" s="223"/>
      <c r="O11" s="223"/>
      <c r="P11" s="223"/>
      <c r="Q11" s="224"/>
      <c r="R11" s="83"/>
    </row>
    <row r="12" spans="3:18" ht="15" x14ac:dyDescent="0.2">
      <c r="C12" s="82"/>
      <c r="D12" s="135" t="s">
        <v>28</v>
      </c>
      <c r="E12" s="136">
        <v>19600</v>
      </c>
      <c r="F12" s="137"/>
      <c r="G12" s="6"/>
      <c r="H12" s="6"/>
      <c r="I12" s="6" t="s">
        <v>27</v>
      </c>
      <c r="J12" s="6"/>
      <c r="K12" s="6"/>
      <c r="L12" s="142" t="s">
        <v>140</v>
      </c>
      <c r="M12" s="143"/>
      <c r="N12" s="143"/>
      <c r="O12" s="143"/>
      <c r="P12" s="143"/>
      <c r="Q12" s="144"/>
      <c r="R12" s="83"/>
    </row>
    <row r="13" spans="3:18" x14ac:dyDescent="0.2">
      <c r="C13" s="82"/>
      <c r="D13" s="135" t="s">
        <v>29</v>
      </c>
      <c r="E13" s="136">
        <v>12300</v>
      </c>
      <c r="F13" s="137"/>
      <c r="G13" s="6"/>
      <c r="H13" s="6"/>
      <c r="I13" s="6" t="s">
        <v>27</v>
      </c>
      <c r="J13" s="6"/>
      <c r="K13" s="6"/>
      <c r="L13" s="6"/>
      <c r="M13" s="6"/>
      <c r="O13" s="6"/>
      <c r="P13" s="6"/>
      <c r="Q13" s="6"/>
      <c r="R13" s="83"/>
    </row>
    <row r="14" spans="3:18" x14ac:dyDescent="0.2">
      <c r="C14" s="82"/>
      <c r="D14" s="135" t="s">
        <v>30</v>
      </c>
      <c r="E14" s="136">
        <v>35000</v>
      </c>
      <c r="F14" s="137"/>
      <c r="G14" s="6"/>
      <c r="H14" s="6"/>
      <c r="I14" s="6" t="s">
        <v>27</v>
      </c>
      <c r="J14" s="6"/>
      <c r="K14" s="6"/>
      <c r="L14" s="6"/>
      <c r="M14" s="6"/>
      <c r="N14" s="6"/>
      <c r="O14" s="6"/>
      <c r="P14" s="6"/>
      <c r="Q14" s="6"/>
      <c r="R14" s="83"/>
    </row>
    <row r="15" spans="3:18" x14ac:dyDescent="0.2">
      <c r="C15" s="82"/>
      <c r="D15" s="135" t="s">
        <v>31</v>
      </c>
      <c r="E15" s="136">
        <v>28000</v>
      </c>
      <c r="F15" s="137"/>
      <c r="G15" s="6"/>
      <c r="H15" s="6"/>
      <c r="I15" s="6" t="s">
        <v>27</v>
      </c>
      <c r="J15" s="6"/>
      <c r="K15" s="6"/>
      <c r="L15" s="6"/>
      <c r="M15" s="6"/>
      <c r="N15" s="6"/>
      <c r="O15" s="6"/>
      <c r="P15" s="6"/>
      <c r="Q15" s="6"/>
      <c r="R15" s="83"/>
    </row>
    <row r="16" spans="3:18" ht="15" x14ac:dyDescent="0.25">
      <c r="C16" s="82"/>
      <c r="D16" s="138" t="s">
        <v>32</v>
      </c>
      <c r="E16" s="139">
        <v>26000</v>
      </c>
      <c r="F16" s="140"/>
      <c r="G16" s="6"/>
      <c r="H16" s="6"/>
      <c r="I16" s="6" t="s">
        <v>27</v>
      </c>
      <c r="J16" s="6"/>
      <c r="K16" s="6"/>
      <c r="L16" s="129"/>
      <c r="M16" s="6"/>
      <c r="N16" s="6"/>
      <c r="O16" s="6"/>
      <c r="P16" s="6"/>
      <c r="Q16" s="6"/>
      <c r="R16" s="83"/>
    </row>
    <row r="17" spans="3:18" ht="15" x14ac:dyDescent="0.25">
      <c r="C17" s="82" t="s">
        <v>33</v>
      </c>
      <c r="D17" s="6"/>
      <c r="E17" s="6"/>
      <c r="F17" s="6"/>
      <c r="G17" s="6"/>
      <c r="H17" s="6"/>
      <c r="I17" s="6"/>
      <c r="J17" s="6"/>
      <c r="K17" s="6"/>
      <c r="L17" s="129"/>
      <c r="M17" s="6"/>
      <c r="N17" s="6"/>
      <c r="O17" s="6"/>
      <c r="P17" s="6"/>
      <c r="Q17" s="6"/>
      <c r="R17" s="83"/>
    </row>
    <row r="18" spans="3:18" ht="15.75" customHeight="1" x14ac:dyDescent="0.25">
      <c r="C18" s="130" t="s">
        <v>34</v>
      </c>
      <c r="D18" s="28" t="s">
        <v>81</v>
      </c>
      <c r="E18" s="29"/>
      <c r="F18" s="29"/>
      <c r="G18" s="29"/>
      <c r="H18" s="29"/>
      <c r="I18" s="29"/>
      <c r="J18" s="30"/>
      <c r="K18" s="129"/>
      <c r="L18" s="129"/>
      <c r="M18" s="6"/>
      <c r="N18" s="6"/>
      <c r="O18" s="6"/>
      <c r="P18" s="6"/>
      <c r="Q18" s="6"/>
      <c r="R18" s="83"/>
    </row>
    <row r="19" spans="3:18" ht="15.75" customHeight="1" x14ac:dyDescent="0.25">
      <c r="C19" s="130"/>
      <c r="D19" s="31"/>
      <c r="E19" s="32"/>
      <c r="F19" s="32"/>
      <c r="G19" s="32"/>
      <c r="H19" s="32"/>
      <c r="I19" s="32"/>
      <c r="J19" s="33"/>
      <c r="K19" s="129"/>
      <c r="L19" s="6"/>
      <c r="M19" s="6"/>
      <c r="N19" s="6"/>
      <c r="O19" s="6"/>
      <c r="P19" s="6"/>
      <c r="Q19" s="6"/>
      <c r="R19" s="83"/>
    </row>
    <row r="20" spans="3:18" ht="15" x14ac:dyDescent="0.25">
      <c r="C20" s="82"/>
      <c r="D20" s="129"/>
      <c r="E20" s="129"/>
      <c r="F20" s="129"/>
      <c r="G20" s="129"/>
      <c r="H20" s="129"/>
      <c r="I20" s="129"/>
      <c r="J20" s="129"/>
      <c r="K20" s="129"/>
      <c r="L20" s="6"/>
      <c r="M20" s="6"/>
      <c r="N20" s="6"/>
      <c r="O20" s="6"/>
      <c r="P20" s="6"/>
      <c r="Q20" s="6"/>
      <c r="R20" s="83"/>
    </row>
    <row r="21" spans="3:18" ht="16.5" customHeight="1" x14ac:dyDescent="0.2">
      <c r="C21" s="82"/>
      <c r="D21" s="132" t="s">
        <v>22</v>
      </c>
      <c r="E21" s="133" t="s">
        <v>23</v>
      </c>
      <c r="F21" s="134" t="s">
        <v>42</v>
      </c>
      <c r="G21" s="6"/>
      <c r="H21" s="6"/>
      <c r="I21" s="6"/>
      <c r="J21" s="6"/>
      <c r="K21" s="6"/>
      <c r="L21" s="6"/>
      <c r="M21" s="6"/>
      <c r="N21" s="6"/>
      <c r="O21" s="6"/>
      <c r="P21" s="6"/>
      <c r="Q21" s="6"/>
      <c r="R21" s="83"/>
    </row>
    <row r="22" spans="3:18" x14ac:dyDescent="0.2">
      <c r="C22" s="82"/>
      <c r="D22" s="135" t="s">
        <v>25</v>
      </c>
      <c r="E22" s="136">
        <v>11900</v>
      </c>
      <c r="F22" s="137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83"/>
    </row>
    <row r="23" spans="3:18" x14ac:dyDescent="0.2">
      <c r="C23" s="82"/>
      <c r="D23" s="135" t="s">
        <v>26</v>
      </c>
      <c r="E23" s="136">
        <v>12500</v>
      </c>
      <c r="F23" s="137"/>
      <c r="G23" s="6"/>
      <c r="H23" s="6"/>
      <c r="I23" s="6" t="s">
        <v>27</v>
      </c>
      <c r="J23" s="6"/>
      <c r="K23" s="6"/>
      <c r="L23" s="6"/>
      <c r="M23" s="6"/>
      <c r="N23" s="6"/>
      <c r="O23" s="6"/>
      <c r="P23" s="6"/>
      <c r="Q23" s="6"/>
      <c r="R23" s="83"/>
    </row>
    <row r="24" spans="3:18" x14ac:dyDescent="0.2">
      <c r="C24" s="82"/>
      <c r="D24" s="135" t="s">
        <v>28</v>
      </c>
      <c r="E24" s="136">
        <v>19600</v>
      </c>
      <c r="F24" s="137"/>
      <c r="G24" s="6"/>
      <c r="H24" s="6"/>
      <c r="I24" s="6" t="s">
        <v>27</v>
      </c>
      <c r="J24" s="6"/>
      <c r="K24" s="6"/>
      <c r="L24" s="6"/>
      <c r="M24" s="6"/>
      <c r="N24" s="6"/>
      <c r="O24" s="6"/>
      <c r="P24" s="6"/>
      <c r="Q24" s="6"/>
      <c r="R24" s="83"/>
    </row>
    <row r="25" spans="3:18" x14ac:dyDescent="0.2">
      <c r="C25" s="82"/>
      <c r="D25" s="135" t="s">
        <v>29</v>
      </c>
      <c r="E25" s="136">
        <v>12300</v>
      </c>
      <c r="F25" s="137"/>
      <c r="G25" s="6"/>
      <c r="H25" s="6"/>
      <c r="I25" s="6" t="s">
        <v>27</v>
      </c>
      <c r="J25" s="6"/>
      <c r="K25" s="6"/>
      <c r="L25" s="6"/>
      <c r="M25" s="6"/>
      <c r="N25" s="6"/>
      <c r="O25" s="6"/>
      <c r="P25" s="6"/>
      <c r="Q25" s="6"/>
      <c r="R25" s="83"/>
    </row>
    <row r="26" spans="3:18" x14ac:dyDescent="0.2">
      <c r="C26" s="82"/>
      <c r="D26" s="135" t="s">
        <v>30</v>
      </c>
      <c r="E26" s="136">
        <v>35000</v>
      </c>
      <c r="F26" s="137"/>
      <c r="G26" s="6"/>
      <c r="H26" s="6"/>
      <c r="I26" s="6" t="s">
        <v>27</v>
      </c>
      <c r="J26" s="6"/>
      <c r="K26" s="6"/>
      <c r="L26" s="6"/>
      <c r="M26" s="6"/>
      <c r="N26" s="6"/>
      <c r="O26" s="6"/>
      <c r="P26" s="6"/>
      <c r="Q26" s="6"/>
      <c r="R26" s="83"/>
    </row>
    <row r="27" spans="3:18" x14ac:dyDescent="0.2">
      <c r="C27" s="82"/>
      <c r="D27" s="135" t="s">
        <v>31</v>
      </c>
      <c r="E27" s="136">
        <v>28000</v>
      </c>
      <c r="F27" s="137"/>
      <c r="G27" s="6"/>
      <c r="H27" s="6"/>
      <c r="I27" s="6" t="s">
        <v>27</v>
      </c>
      <c r="J27" s="6"/>
      <c r="K27" s="6"/>
      <c r="L27" s="6"/>
      <c r="M27" s="6"/>
      <c r="N27" s="6"/>
      <c r="O27" s="6"/>
      <c r="P27" s="6"/>
      <c r="Q27" s="6"/>
      <c r="R27" s="83"/>
    </row>
    <row r="28" spans="3:18" x14ac:dyDescent="0.2">
      <c r="C28" s="82"/>
      <c r="D28" s="138" t="s">
        <v>32</v>
      </c>
      <c r="E28" s="139">
        <v>26000</v>
      </c>
      <c r="F28" s="140"/>
      <c r="G28" s="6"/>
      <c r="H28" s="6"/>
      <c r="I28" s="6" t="s">
        <v>27</v>
      </c>
      <c r="J28" s="6"/>
      <c r="K28" s="6"/>
      <c r="L28" s="6"/>
      <c r="M28" s="6"/>
      <c r="N28" s="6"/>
      <c r="O28" s="6"/>
      <c r="P28" s="6"/>
      <c r="Q28" s="6"/>
      <c r="R28" s="83"/>
    </row>
    <row r="29" spans="3:18" x14ac:dyDescent="0.2">
      <c r="C29" s="82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83"/>
    </row>
    <row r="30" spans="3:18" ht="15.75" customHeight="1" x14ac:dyDescent="0.25">
      <c r="C30" s="130" t="s">
        <v>35</v>
      </c>
      <c r="D30" s="34" t="s">
        <v>82</v>
      </c>
      <c r="E30" s="35"/>
      <c r="F30" s="35"/>
      <c r="G30" s="35"/>
      <c r="H30" s="35"/>
      <c r="I30" s="35"/>
      <c r="J30" s="36"/>
      <c r="K30" s="6"/>
      <c r="L30" s="6"/>
      <c r="M30" s="6"/>
      <c r="N30" s="6"/>
      <c r="O30" s="6"/>
      <c r="P30" s="6"/>
      <c r="Q30" s="6"/>
      <c r="R30" s="83"/>
    </row>
    <row r="31" spans="3:18" ht="15.75" customHeight="1" x14ac:dyDescent="0.25">
      <c r="C31" s="82"/>
      <c r="D31" s="37"/>
      <c r="E31" s="38"/>
      <c r="F31" s="38"/>
      <c r="G31" s="38"/>
      <c r="H31" s="38"/>
      <c r="I31" s="38"/>
      <c r="J31" s="39"/>
      <c r="K31" s="6"/>
      <c r="L31" s="6"/>
      <c r="M31" s="6"/>
      <c r="N31" s="6"/>
      <c r="O31" s="6"/>
      <c r="P31" s="6"/>
      <c r="Q31" s="6"/>
      <c r="R31" s="83"/>
    </row>
    <row r="32" spans="3:18" x14ac:dyDescent="0.2">
      <c r="C32" s="82"/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  <c r="R32" s="83"/>
    </row>
    <row r="33" spans="3:18" ht="30" customHeight="1" x14ac:dyDescent="0.2">
      <c r="C33" s="82"/>
      <c r="D33" s="132" t="s">
        <v>22</v>
      </c>
      <c r="E33" s="133" t="s">
        <v>23</v>
      </c>
      <c r="F33" s="141" t="s">
        <v>36</v>
      </c>
      <c r="G33" s="6"/>
      <c r="H33" s="6"/>
      <c r="I33" s="6"/>
      <c r="J33" s="131"/>
      <c r="K33" s="6"/>
      <c r="L33" s="6"/>
      <c r="M33" s="6"/>
      <c r="N33" s="6"/>
      <c r="O33" s="6"/>
      <c r="P33" s="6"/>
      <c r="Q33" s="6"/>
      <c r="R33" s="83"/>
    </row>
    <row r="34" spans="3:18" x14ac:dyDescent="0.2">
      <c r="C34" s="82"/>
      <c r="D34" s="135" t="s">
        <v>25</v>
      </c>
      <c r="E34" s="136">
        <v>11900</v>
      </c>
      <c r="F34" s="137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  <c r="R34" s="83"/>
    </row>
    <row r="35" spans="3:18" x14ac:dyDescent="0.2">
      <c r="C35" s="82"/>
      <c r="D35" s="135" t="s">
        <v>26</v>
      </c>
      <c r="E35" s="136">
        <v>12500</v>
      </c>
      <c r="F35" s="137"/>
      <c r="G35" s="6"/>
      <c r="H35" s="6"/>
      <c r="I35" s="6" t="s">
        <v>27</v>
      </c>
      <c r="J35" s="6"/>
      <c r="K35" s="6"/>
      <c r="L35" s="6"/>
      <c r="M35" s="6"/>
      <c r="N35" s="6"/>
      <c r="O35" s="6"/>
      <c r="P35" s="6"/>
      <c r="Q35" s="6"/>
      <c r="R35" s="83"/>
    </row>
    <row r="36" spans="3:18" x14ac:dyDescent="0.2">
      <c r="C36" s="82"/>
      <c r="D36" s="135" t="s">
        <v>28</v>
      </c>
      <c r="E36" s="136">
        <v>19600</v>
      </c>
      <c r="F36" s="137"/>
      <c r="G36" s="6"/>
      <c r="H36" s="6"/>
      <c r="I36" s="6" t="s">
        <v>27</v>
      </c>
      <c r="J36" s="6"/>
      <c r="K36" s="6"/>
      <c r="L36" s="6"/>
      <c r="M36" s="6"/>
      <c r="N36" s="6"/>
      <c r="O36" s="6"/>
      <c r="P36" s="6"/>
      <c r="Q36" s="6"/>
      <c r="R36" s="83"/>
    </row>
    <row r="37" spans="3:18" x14ac:dyDescent="0.2">
      <c r="C37" s="82"/>
      <c r="D37" s="135" t="s">
        <v>29</v>
      </c>
      <c r="E37" s="136">
        <v>12300</v>
      </c>
      <c r="F37" s="137"/>
      <c r="G37" s="6"/>
      <c r="H37" s="6"/>
      <c r="I37" s="6" t="s">
        <v>27</v>
      </c>
      <c r="J37" s="6"/>
      <c r="K37" s="6"/>
      <c r="L37" s="6"/>
      <c r="M37" s="6"/>
      <c r="N37" s="6"/>
      <c r="O37" s="6"/>
      <c r="P37" s="6"/>
      <c r="Q37" s="6"/>
      <c r="R37" s="83"/>
    </row>
    <row r="38" spans="3:18" x14ac:dyDescent="0.2">
      <c r="C38" s="82"/>
      <c r="D38" s="135" t="s">
        <v>30</v>
      </c>
      <c r="E38" s="136">
        <v>35000</v>
      </c>
      <c r="F38" s="137"/>
      <c r="G38" s="6"/>
      <c r="H38" s="6"/>
      <c r="I38" s="6" t="s">
        <v>27</v>
      </c>
      <c r="J38" s="6"/>
      <c r="K38" s="6"/>
      <c r="L38" s="6"/>
      <c r="M38" s="6"/>
      <c r="N38" s="6"/>
      <c r="O38" s="6"/>
      <c r="P38" s="6"/>
      <c r="Q38" s="6"/>
      <c r="R38" s="83"/>
    </row>
    <row r="39" spans="3:18" x14ac:dyDescent="0.2">
      <c r="C39" s="82"/>
      <c r="D39" s="135" t="s">
        <v>31</v>
      </c>
      <c r="E39" s="136">
        <v>28000</v>
      </c>
      <c r="F39" s="137"/>
      <c r="G39" s="6"/>
      <c r="H39" s="6"/>
      <c r="I39" s="6" t="s">
        <v>27</v>
      </c>
      <c r="J39" s="6"/>
      <c r="K39" s="6"/>
      <c r="L39" s="6"/>
      <c r="M39" s="6"/>
      <c r="N39" s="6"/>
      <c r="O39" s="6"/>
      <c r="P39" s="6"/>
      <c r="Q39" s="6"/>
      <c r="R39" s="83"/>
    </row>
    <row r="40" spans="3:18" x14ac:dyDescent="0.2">
      <c r="C40" s="82"/>
      <c r="D40" s="138" t="s">
        <v>32</v>
      </c>
      <c r="E40" s="139">
        <v>26000</v>
      </c>
      <c r="F40" s="140"/>
      <c r="G40" s="6"/>
      <c r="H40" s="6"/>
      <c r="I40" s="6" t="s">
        <v>27</v>
      </c>
      <c r="J40" s="6"/>
      <c r="K40" s="6"/>
      <c r="L40" s="6"/>
      <c r="M40" s="6"/>
      <c r="N40" s="6"/>
      <c r="O40" s="6"/>
      <c r="P40" s="6"/>
      <c r="Q40" s="6"/>
      <c r="R40" s="83"/>
    </row>
    <row r="41" spans="3:18" x14ac:dyDescent="0.2">
      <c r="C41" s="82"/>
      <c r="D41" s="6"/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83"/>
    </row>
    <row r="42" spans="3:18" x14ac:dyDescent="0.2">
      <c r="C42" s="82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83"/>
    </row>
    <row r="43" spans="3:18" ht="13.5" thickBot="1" x14ac:dyDescent="0.25">
      <c r="C43" s="84"/>
      <c r="D43" s="85"/>
      <c r="E43" s="85"/>
      <c r="F43" s="85"/>
      <c r="G43" s="85"/>
      <c r="H43" s="85"/>
      <c r="I43" s="85"/>
      <c r="J43" s="85"/>
      <c r="K43" s="85"/>
      <c r="L43" s="85"/>
      <c r="M43" s="85"/>
      <c r="N43" s="85"/>
      <c r="O43" s="85"/>
      <c r="P43" s="85"/>
      <c r="Q43" s="85"/>
      <c r="R43" s="86"/>
    </row>
    <row r="44" spans="3:18" x14ac:dyDescent="0.2"/>
    <row r="45" spans="3:18" s="122" customFormat="1" x14ac:dyDescent="0.2"/>
  </sheetData>
  <mergeCells count="4">
    <mergeCell ref="C3:R3"/>
    <mergeCell ref="L10:Q10"/>
    <mergeCell ref="L11:Q11"/>
    <mergeCell ref="L9:Q9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4">
    <tabColor theme="7" tint="0.39997558519241921"/>
  </sheetPr>
  <dimension ref="A1:AE37"/>
  <sheetViews>
    <sheetView showGridLines="0" zoomScale="75" zoomScaleNormal="75" workbookViewId="0">
      <selection activeCell="C3" sqref="C3:AC3"/>
    </sheetView>
  </sheetViews>
  <sheetFormatPr defaultColWidth="0" defaultRowHeight="15" zeroHeight="1" x14ac:dyDescent="0.2"/>
  <cols>
    <col min="1" max="1" width="2.7109375" style="156" customWidth="1"/>
    <col min="2" max="2" width="1.5703125" style="17" customWidth="1"/>
    <col min="3" max="3" width="2.7109375" style="17" customWidth="1"/>
    <col min="4" max="4" width="5.7109375" style="17" customWidth="1"/>
    <col min="5" max="10" width="9.140625" style="17" customWidth="1"/>
    <col min="11" max="12" width="3.7109375" style="17" customWidth="1"/>
    <col min="13" max="13" width="9.140625" style="17" customWidth="1"/>
    <col min="14" max="14" width="7" style="17" customWidth="1"/>
    <col min="15" max="17" width="9.140625" style="17" customWidth="1"/>
    <col min="18" max="28" width="6.42578125" style="17" customWidth="1"/>
    <col min="29" max="29" width="2.7109375" style="17" customWidth="1"/>
    <col min="30" max="30" width="1.7109375" style="17" customWidth="1"/>
    <col min="31" max="31" width="2.7109375" style="156" customWidth="1"/>
    <col min="32" max="16384" width="9.140625" style="17" hidden="1"/>
  </cols>
  <sheetData>
    <row r="1" spans="1:31" ht="7.5" customHeight="1" x14ac:dyDescent="0.2">
      <c r="B1" s="156"/>
      <c r="C1" s="156"/>
      <c r="D1" s="156"/>
      <c r="E1" s="156"/>
      <c r="F1" s="156"/>
      <c r="G1" s="156"/>
      <c r="H1" s="156"/>
      <c r="I1" s="156"/>
      <c r="J1" s="156"/>
      <c r="K1" s="156"/>
      <c r="L1" s="156"/>
      <c r="M1" s="156"/>
      <c r="N1" s="156"/>
      <c r="O1" s="156"/>
      <c r="P1" s="156"/>
      <c r="Q1" s="156"/>
      <c r="R1" s="156"/>
      <c r="S1" s="156"/>
      <c r="T1" s="156"/>
      <c r="U1" s="156"/>
      <c r="V1" s="156"/>
      <c r="W1" s="156"/>
      <c r="X1" s="156"/>
      <c r="Y1" s="156"/>
      <c r="Z1" s="156"/>
      <c r="AA1" s="156"/>
      <c r="AB1" s="156"/>
      <c r="AC1" s="156"/>
      <c r="AD1" s="156"/>
    </row>
    <row r="2" spans="1:31" ht="7.5" customHeight="1" thickBot="1" x14ac:dyDescent="0.25"/>
    <row r="3" spans="1:31" ht="63" customHeight="1" thickBot="1" x14ac:dyDescent="0.25">
      <c r="C3" s="228"/>
      <c r="D3" s="229"/>
      <c r="E3" s="229"/>
      <c r="F3" s="229"/>
      <c r="G3" s="229"/>
      <c r="H3" s="229"/>
      <c r="I3" s="229"/>
      <c r="J3" s="229"/>
      <c r="K3" s="229"/>
      <c r="L3" s="229"/>
      <c r="M3" s="229"/>
      <c r="N3" s="229"/>
      <c r="O3" s="229"/>
      <c r="P3" s="229"/>
      <c r="Q3" s="229"/>
      <c r="R3" s="229"/>
      <c r="S3" s="229"/>
      <c r="T3" s="229"/>
      <c r="U3" s="229"/>
      <c r="V3" s="229"/>
      <c r="W3" s="229"/>
      <c r="X3" s="229"/>
      <c r="Y3" s="229"/>
      <c r="Z3" s="229"/>
      <c r="AA3" s="229"/>
      <c r="AB3" s="229"/>
      <c r="AC3" s="230"/>
    </row>
    <row r="4" spans="1:31" ht="7.5" customHeight="1" thickBot="1" x14ac:dyDescent="0.25"/>
    <row r="5" spans="1:31" ht="16.5" customHeight="1" thickBot="1" x14ac:dyDescent="0.25">
      <c r="C5" s="145"/>
      <c r="D5" s="146"/>
      <c r="E5" s="146"/>
      <c r="F5" s="146"/>
      <c r="G5" s="146"/>
      <c r="H5" s="146"/>
      <c r="I5" s="146"/>
      <c r="J5" s="146"/>
      <c r="K5" s="146"/>
      <c r="L5" s="146"/>
      <c r="M5" s="146"/>
      <c r="N5" s="146"/>
      <c r="O5" s="146"/>
      <c r="P5" s="146"/>
      <c r="Q5" s="146"/>
      <c r="R5" s="146"/>
      <c r="S5" s="146"/>
      <c r="T5" s="146"/>
      <c r="U5" s="146"/>
      <c r="V5" s="146"/>
      <c r="W5" s="146"/>
      <c r="X5" s="146"/>
      <c r="Y5" s="146"/>
      <c r="Z5" s="146"/>
      <c r="AA5" s="146"/>
      <c r="AB5" s="146"/>
      <c r="AC5" s="147"/>
    </row>
    <row r="6" spans="1:31" ht="23.25" customHeight="1" thickBot="1" x14ac:dyDescent="0.25">
      <c r="C6" s="148"/>
      <c r="D6" s="149"/>
      <c r="E6" s="243" t="s">
        <v>143</v>
      </c>
      <c r="F6" s="244"/>
      <c r="G6" s="244"/>
      <c r="H6" s="244"/>
      <c r="I6" s="244"/>
      <c r="J6" s="244"/>
      <c r="K6" s="244"/>
      <c r="L6" s="244"/>
      <c r="M6" s="244"/>
      <c r="N6" s="244"/>
      <c r="O6" s="244"/>
      <c r="P6" s="244"/>
      <c r="Q6" s="244"/>
      <c r="R6" s="244"/>
      <c r="S6" s="244"/>
      <c r="T6" s="244"/>
      <c r="U6" s="244"/>
      <c r="V6" s="244"/>
      <c r="W6" s="244"/>
      <c r="X6" s="244"/>
      <c r="Y6" s="244"/>
      <c r="Z6" s="244"/>
      <c r="AA6" s="244"/>
      <c r="AB6" s="245"/>
      <c r="AC6" s="150"/>
    </row>
    <row r="7" spans="1:31" ht="8.25" customHeight="1" thickBot="1" x14ac:dyDescent="0.25">
      <c r="C7" s="148"/>
      <c r="D7" s="149"/>
      <c r="E7" s="149"/>
      <c r="F7" s="149"/>
      <c r="G7" s="149"/>
      <c r="H7" s="149"/>
      <c r="I7" s="149"/>
      <c r="J7" s="149"/>
      <c r="K7" s="149"/>
      <c r="L7" s="149"/>
      <c r="M7" s="149"/>
      <c r="N7" s="149"/>
      <c r="O7" s="149"/>
      <c r="P7" s="149"/>
      <c r="Q7" s="149"/>
      <c r="R7" s="149"/>
      <c r="S7" s="149"/>
      <c r="T7" s="149"/>
      <c r="U7" s="149"/>
      <c r="V7" s="149"/>
      <c r="W7" s="149"/>
      <c r="X7" s="149"/>
      <c r="Y7" s="149"/>
      <c r="Z7" s="149"/>
      <c r="AA7" s="149"/>
      <c r="AB7" s="149"/>
      <c r="AC7" s="150"/>
    </row>
    <row r="8" spans="1:31" ht="20.25" customHeight="1" thickBot="1" x14ac:dyDescent="0.25">
      <c r="C8" s="148"/>
      <c r="D8" s="149"/>
      <c r="E8" s="246" t="s">
        <v>120</v>
      </c>
      <c r="F8" s="247"/>
      <c r="G8" s="247"/>
      <c r="H8" s="247"/>
      <c r="I8" s="247"/>
      <c r="J8" s="247"/>
      <c r="K8" s="247"/>
      <c r="L8" s="248"/>
      <c r="M8" s="246" t="s">
        <v>121</v>
      </c>
      <c r="N8" s="248"/>
      <c r="O8" s="246" t="s">
        <v>122</v>
      </c>
      <c r="P8" s="247"/>
      <c r="Q8" s="247"/>
      <c r="R8" s="247"/>
      <c r="S8" s="247"/>
      <c r="T8" s="247"/>
      <c r="U8" s="247"/>
      <c r="V8" s="247"/>
      <c r="W8" s="247"/>
      <c r="X8" s="247"/>
      <c r="Y8" s="247"/>
      <c r="Z8" s="247"/>
      <c r="AA8" s="247"/>
      <c r="AB8" s="248"/>
      <c r="AC8" s="150"/>
    </row>
    <row r="9" spans="1:31" s="18" customFormat="1" ht="31.5" customHeight="1" thickBot="1" x14ac:dyDescent="0.25">
      <c r="A9" s="157"/>
      <c r="C9" s="151"/>
      <c r="D9" s="19">
        <v>1</v>
      </c>
      <c r="E9" s="249" t="s">
        <v>123</v>
      </c>
      <c r="F9" s="250"/>
      <c r="G9" s="250"/>
      <c r="H9" s="250"/>
      <c r="I9" s="250"/>
      <c r="J9" s="250"/>
      <c r="K9" s="250"/>
      <c r="L9" s="251"/>
      <c r="M9" s="233" t="s">
        <v>130</v>
      </c>
      <c r="N9" s="234"/>
      <c r="O9" s="235"/>
      <c r="P9" s="236"/>
      <c r="Q9" s="236"/>
      <c r="R9" s="236"/>
      <c r="S9" s="236"/>
      <c r="T9" s="236"/>
      <c r="U9" s="236"/>
      <c r="V9" s="236"/>
      <c r="W9" s="236"/>
      <c r="X9" s="236"/>
      <c r="Y9" s="236"/>
      <c r="Z9" s="236"/>
      <c r="AA9" s="236"/>
      <c r="AB9" s="237"/>
      <c r="AC9" s="152"/>
      <c r="AE9" s="157"/>
    </row>
    <row r="10" spans="1:31" s="18" customFormat="1" ht="31.5" customHeight="1" thickBot="1" x14ac:dyDescent="0.25">
      <c r="A10" s="157"/>
      <c r="C10" s="151"/>
      <c r="D10" s="19">
        <v>2</v>
      </c>
      <c r="E10" s="231" t="s">
        <v>124</v>
      </c>
      <c r="F10" s="232"/>
      <c r="G10" s="232"/>
      <c r="H10" s="232"/>
      <c r="I10" s="232"/>
      <c r="J10" s="232"/>
      <c r="K10" s="232"/>
      <c r="L10" s="232"/>
      <c r="M10" s="233" t="s">
        <v>131</v>
      </c>
      <c r="N10" s="234"/>
      <c r="O10" s="235"/>
      <c r="P10" s="236"/>
      <c r="Q10" s="236"/>
      <c r="R10" s="236"/>
      <c r="S10" s="236"/>
      <c r="T10" s="236"/>
      <c r="U10" s="236"/>
      <c r="V10" s="236"/>
      <c r="W10" s="236"/>
      <c r="X10" s="236"/>
      <c r="Y10" s="236"/>
      <c r="Z10" s="236"/>
      <c r="AA10" s="236"/>
      <c r="AB10" s="237"/>
      <c r="AC10" s="152"/>
      <c r="AE10" s="157"/>
    </row>
    <row r="11" spans="1:31" s="18" customFormat="1" ht="31.5" customHeight="1" thickBot="1" x14ac:dyDescent="0.25">
      <c r="A11" s="157"/>
      <c r="C11" s="151"/>
      <c r="D11" s="19">
        <v>3</v>
      </c>
      <c r="E11" s="231" t="s">
        <v>125</v>
      </c>
      <c r="F11" s="232"/>
      <c r="G11" s="232"/>
      <c r="H11" s="232"/>
      <c r="I11" s="232"/>
      <c r="J11" s="232"/>
      <c r="K11" s="232"/>
      <c r="L11" s="232"/>
      <c r="M11" s="233" t="s">
        <v>131</v>
      </c>
      <c r="N11" s="234"/>
      <c r="O11" s="235"/>
      <c r="P11" s="236"/>
      <c r="Q11" s="236"/>
      <c r="R11" s="236"/>
      <c r="S11" s="236"/>
      <c r="T11" s="236"/>
      <c r="U11" s="236"/>
      <c r="V11" s="236"/>
      <c r="W11" s="236"/>
      <c r="X11" s="236"/>
      <c r="Y11" s="236"/>
      <c r="Z11" s="236"/>
      <c r="AA11" s="236"/>
      <c r="AB11" s="237"/>
      <c r="AC11" s="152"/>
      <c r="AE11" s="157"/>
    </row>
    <row r="12" spans="1:31" s="18" customFormat="1" ht="31.5" customHeight="1" thickBot="1" x14ac:dyDescent="0.25">
      <c r="A12" s="157"/>
      <c r="C12" s="151"/>
      <c r="D12" s="19">
        <v>4</v>
      </c>
      <c r="E12" s="231" t="s">
        <v>124</v>
      </c>
      <c r="F12" s="232"/>
      <c r="G12" s="232"/>
      <c r="H12" s="232"/>
      <c r="I12" s="232"/>
      <c r="J12" s="232"/>
      <c r="K12" s="232"/>
      <c r="L12" s="232"/>
      <c r="M12" s="233" t="s">
        <v>131</v>
      </c>
      <c r="N12" s="234"/>
      <c r="O12" s="235"/>
      <c r="P12" s="236"/>
      <c r="Q12" s="236"/>
      <c r="R12" s="236"/>
      <c r="S12" s="236"/>
      <c r="T12" s="236"/>
      <c r="U12" s="236"/>
      <c r="V12" s="236"/>
      <c r="W12" s="236"/>
      <c r="X12" s="236"/>
      <c r="Y12" s="236"/>
      <c r="Z12" s="236"/>
      <c r="AA12" s="236"/>
      <c r="AB12" s="237"/>
      <c r="AC12" s="152"/>
      <c r="AE12" s="157"/>
    </row>
    <row r="13" spans="1:31" s="18" customFormat="1" ht="31.5" customHeight="1" thickBot="1" x14ac:dyDescent="0.25">
      <c r="A13" s="157"/>
      <c r="C13" s="151"/>
      <c r="D13" s="19">
        <v>5</v>
      </c>
      <c r="E13" s="241" t="s">
        <v>126</v>
      </c>
      <c r="F13" s="242"/>
      <c r="G13" s="242"/>
      <c r="H13" s="242"/>
      <c r="I13" s="242"/>
      <c r="J13" s="242"/>
      <c r="K13" s="242"/>
      <c r="L13" s="242"/>
      <c r="M13" s="233" t="s">
        <v>130</v>
      </c>
      <c r="N13" s="234"/>
      <c r="O13" s="235"/>
      <c r="P13" s="236"/>
      <c r="Q13" s="236"/>
      <c r="R13" s="236"/>
      <c r="S13" s="236"/>
      <c r="T13" s="236"/>
      <c r="U13" s="236"/>
      <c r="V13" s="236"/>
      <c r="W13" s="236"/>
      <c r="X13" s="236"/>
      <c r="Y13" s="236"/>
      <c r="Z13" s="236"/>
      <c r="AA13" s="236"/>
      <c r="AB13" s="237"/>
      <c r="AC13" s="152"/>
      <c r="AE13" s="157"/>
    </row>
    <row r="14" spans="1:31" s="18" customFormat="1" ht="31.5" customHeight="1" thickBot="1" x14ac:dyDescent="0.25">
      <c r="A14" s="157"/>
      <c r="C14" s="151"/>
      <c r="D14" s="20">
        <v>6</v>
      </c>
      <c r="E14" s="231" t="s">
        <v>124</v>
      </c>
      <c r="F14" s="232"/>
      <c r="G14" s="232"/>
      <c r="H14" s="232"/>
      <c r="I14" s="232"/>
      <c r="J14" s="232"/>
      <c r="K14" s="232"/>
      <c r="L14" s="232"/>
      <c r="M14" s="233" t="s">
        <v>131</v>
      </c>
      <c r="N14" s="234"/>
      <c r="O14" s="235"/>
      <c r="P14" s="236"/>
      <c r="Q14" s="236"/>
      <c r="R14" s="236"/>
      <c r="S14" s="236"/>
      <c r="T14" s="236"/>
      <c r="U14" s="236"/>
      <c r="V14" s="236"/>
      <c r="W14" s="236"/>
      <c r="X14" s="236"/>
      <c r="Y14" s="236"/>
      <c r="Z14" s="236"/>
      <c r="AA14" s="236"/>
      <c r="AB14" s="237"/>
      <c r="AC14" s="152"/>
      <c r="AE14" s="157"/>
    </row>
    <row r="15" spans="1:31" s="18" customFormat="1" ht="31.5" customHeight="1" thickBot="1" x14ac:dyDescent="0.25">
      <c r="A15" s="157"/>
      <c r="C15" s="151"/>
      <c r="D15" s="20">
        <v>7</v>
      </c>
      <c r="E15" s="231" t="s">
        <v>127</v>
      </c>
      <c r="F15" s="232"/>
      <c r="G15" s="232"/>
      <c r="H15" s="232"/>
      <c r="I15" s="232"/>
      <c r="J15" s="232"/>
      <c r="K15" s="232"/>
      <c r="L15" s="232"/>
      <c r="M15" s="233" t="s">
        <v>130</v>
      </c>
      <c r="N15" s="234"/>
      <c r="O15" s="238"/>
      <c r="P15" s="239"/>
      <c r="Q15" s="239"/>
      <c r="R15" s="239"/>
      <c r="S15" s="239"/>
      <c r="T15" s="239"/>
      <c r="U15" s="239"/>
      <c r="V15" s="239"/>
      <c r="W15" s="239"/>
      <c r="X15" s="239"/>
      <c r="Y15" s="239"/>
      <c r="Z15" s="239"/>
      <c r="AA15" s="239"/>
      <c r="AB15" s="240"/>
      <c r="AC15" s="152"/>
      <c r="AE15" s="157"/>
    </row>
    <row r="16" spans="1:31" x14ac:dyDescent="0.2">
      <c r="C16" s="148"/>
      <c r="D16" s="149"/>
      <c r="E16" s="149"/>
      <c r="F16" s="149"/>
      <c r="G16" s="149"/>
      <c r="H16" s="149"/>
      <c r="I16" s="149"/>
      <c r="J16" s="149"/>
      <c r="K16" s="149"/>
      <c r="L16" s="149"/>
      <c r="M16" s="149"/>
      <c r="N16" s="149"/>
      <c r="O16" s="149"/>
      <c r="P16" s="149"/>
      <c r="Q16" s="149"/>
      <c r="R16" s="149"/>
      <c r="S16" s="149"/>
      <c r="T16" s="149"/>
      <c r="U16" s="149"/>
      <c r="V16" s="149"/>
      <c r="W16" s="149"/>
      <c r="X16" s="149"/>
      <c r="Y16" s="149"/>
      <c r="Z16" s="149"/>
      <c r="AA16" s="149"/>
      <c r="AB16" s="149"/>
      <c r="AC16" s="150"/>
    </row>
    <row r="17" spans="3:29" x14ac:dyDescent="0.2">
      <c r="C17" s="148"/>
      <c r="D17" s="149"/>
      <c r="E17" s="149"/>
      <c r="F17" s="149"/>
      <c r="G17" s="149"/>
      <c r="H17" s="149"/>
      <c r="I17" s="149"/>
      <c r="J17" s="149"/>
      <c r="K17" s="149"/>
      <c r="L17" s="149"/>
      <c r="M17" s="149"/>
      <c r="N17" s="149"/>
      <c r="O17" s="149"/>
      <c r="P17" s="149"/>
      <c r="Q17" s="149"/>
      <c r="R17" s="149"/>
      <c r="S17" s="149"/>
      <c r="T17" s="149"/>
      <c r="U17" s="149"/>
      <c r="V17" s="149"/>
      <c r="W17" s="149"/>
      <c r="X17" s="149"/>
      <c r="Y17" s="149"/>
      <c r="Z17" s="149"/>
      <c r="AA17" s="149"/>
      <c r="AB17" s="149"/>
      <c r="AC17" s="150"/>
    </row>
    <row r="18" spans="3:29" x14ac:dyDescent="0.2">
      <c r="C18" s="148"/>
      <c r="D18" s="149"/>
      <c r="E18" s="149"/>
      <c r="F18" s="149"/>
      <c r="G18" s="149"/>
      <c r="H18" s="149"/>
      <c r="I18" s="149"/>
      <c r="J18" s="149"/>
      <c r="K18" s="149"/>
      <c r="L18" s="149"/>
      <c r="M18" s="149"/>
      <c r="N18" s="149"/>
      <c r="O18" s="149"/>
      <c r="P18" s="149"/>
      <c r="Q18" s="149"/>
      <c r="R18" s="149"/>
      <c r="S18" s="149"/>
      <c r="T18" s="149"/>
      <c r="U18" s="149"/>
      <c r="V18" s="149"/>
      <c r="W18" s="149"/>
      <c r="X18" s="149"/>
      <c r="Y18" s="149"/>
      <c r="Z18" s="149"/>
      <c r="AA18" s="149"/>
      <c r="AB18" s="149"/>
      <c r="AC18" s="150"/>
    </row>
    <row r="19" spans="3:29" x14ac:dyDescent="0.2">
      <c r="C19" s="148"/>
      <c r="D19" s="149"/>
      <c r="E19" s="149"/>
      <c r="F19" s="149"/>
      <c r="G19" s="149"/>
      <c r="H19" s="149"/>
      <c r="I19" s="149"/>
      <c r="J19" s="149"/>
      <c r="K19" s="149"/>
      <c r="L19" s="149"/>
      <c r="M19" s="149"/>
      <c r="N19" s="149"/>
      <c r="O19" s="149"/>
      <c r="P19" s="149"/>
      <c r="Q19" s="149"/>
      <c r="R19" s="149"/>
      <c r="S19" s="149"/>
      <c r="T19" s="149"/>
      <c r="U19" s="149"/>
      <c r="V19" s="149"/>
      <c r="W19" s="149"/>
      <c r="X19" s="149"/>
      <c r="Y19" s="149"/>
      <c r="Z19" s="149"/>
      <c r="AA19" s="149"/>
      <c r="AB19" s="149"/>
      <c r="AC19" s="150"/>
    </row>
    <row r="20" spans="3:29" x14ac:dyDescent="0.2">
      <c r="C20" s="148"/>
      <c r="D20" s="149"/>
      <c r="E20" s="149"/>
      <c r="F20" s="149"/>
      <c r="G20" s="149"/>
      <c r="H20" s="149"/>
      <c r="I20" s="149"/>
      <c r="J20" s="149"/>
      <c r="K20" s="149"/>
      <c r="L20" s="149"/>
      <c r="M20" s="149"/>
      <c r="N20" s="149"/>
      <c r="O20" s="149"/>
      <c r="P20" s="149"/>
      <c r="Q20" s="149"/>
      <c r="R20" s="149"/>
      <c r="S20" s="149"/>
      <c r="T20" s="149"/>
      <c r="U20" s="149"/>
      <c r="V20" s="149"/>
      <c r="W20" s="149"/>
      <c r="X20" s="149"/>
      <c r="Y20" s="149"/>
      <c r="Z20" s="149"/>
      <c r="AA20" s="149"/>
      <c r="AB20" s="149"/>
      <c r="AC20" s="150"/>
    </row>
    <row r="21" spans="3:29" x14ac:dyDescent="0.2">
      <c r="C21" s="148"/>
      <c r="D21" s="149"/>
      <c r="E21" s="149"/>
      <c r="F21" s="149"/>
      <c r="G21" s="149"/>
      <c r="H21" s="149"/>
      <c r="I21" s="149"/>
      <c r="J21" s="149"/>
      <c r="K21" s="149"/>
      <c r="L21" s="149"/>
      <c r="M21" s="149"/>
      <c r="N21" s="149"/>
      <c r="O21" s="149"/>
      <c r="P21" s="149"/>
      <c r="Q21" s="149"/>
      <c r="R21" s="149"/>
      <c r="S21" s="149"/>
      <c r="T21" s="149"/>
      <c r="U21" s="149"/>
      <c r="V21" s="149"/>
      <c r="W21" s="149"/>
      <c r="X21" s="149"/>
      <c r="Y21" s="149"/>
      <c r="Z21" s="149"/>
      <c r="AA21" s="149"/>
      <c r="AB21" s="149"/>
      <c r="AC21" s="150"/>
    </row>
    <row r="22" spans="3:29" x14ac:dyDescent="0.2">
      <c r="C22" s="148"/>
      <c r="D22" s="149"/>
      <c r="E22" s="149"/>
      <c r="F22" s="149"/>
      <c r="G22" s="149"/>
      <c r="H22" s="149"/>
      <c r="I22" s="149"/>
      <c r="J22" s="149"/>
      <c r="K22" s="149"/>
      <c r="L22" s="149"/>
      <c r="M22" s="149"/>
      <c r="N22" s="149"/>
      <c r="O22" s="149"/>
      <c r="P22" s="149"/>
      <c r="Q22" s="149"/>
      <c r="R22" s="149"/>
      <c r="S22" s="149"/>
      <c r="T22" s="149"/>
      <c r="U22" s="149"/>
      <c r="V22" s="149"/>
      <c r="W22" s="149"/>
      <c r="X22" s="149"/>
      <c r="Y22" s="149"/>
      <c r="Z22" s="149"/>
      <c r="AA22" s="149"/>
      <c r="AB22" s="149"/>
      <c r="AC22" s="150"/>
    </row>
    <row r="23" spans="3:29" x14ac:dyDescent="0.2">
      <c r="C23" s="148"/>
      <c r="D23" s="149"/>
      <c r="E23" s="149"/>
      <c r="F23" s="149"/>
      <c r="G23" s="149"/>
      <c r="H23" s="149"/>
      <c r="I23" s="149"/>
      <c r="J23" s="149"/>
      <c r="K23" s="149"/>
      <c r="L23" s="149"/>
      <c r="M23" s="149"/>
      <c r="N23" s="149"/>
      <c r="O23" s="149"/>
      <c r="P23" s="149"/>
      <c r="Q23" s="149"/>
      <c r="R23" s="149"/>
      <c r="S23" s="149"/>
      <c r="T23" s="149"/>
      <c r="U23" s="149"/>
      <c r="V23" s="149"/>
      <c r="W23" s="149"/>
      <c r="X23" s="149"/>
      <c r="Y23" s="149"/>
      <c r="Z23" s="149"/>
      <c r="AA23" s="149"/>
      <c r="AB23" s="149"/>
      <c r="AC23" s="150"/>
    </row>
    <row r="24" spans="3:29" x14ac:dyDescent="0.2">
      <c r="C24" s="148"/>
      <c r="D24" s="149"/>
      <c r="E24" s="149"/>
      <c r="F24" s="149"/>
      <c r="G24" s="149"/>
      <c r="H24" s="149"/>
      <c r="I24" s="149"/>
      <c r="J24" s="149"/>
      <c r="K24" s="149"/>
      <c r="L24" s="149"/>
      <c r="M24" s="149"/>
      <c r="N24" s="149"/>
      <c r="O24" s="149"/>
      <c r="P24" s="149"/>
      <c r="Q24" s="149"/>
      <c r="R24" s="149"/>
      <c r="S24" s="149"/>
      <c r="T24" s="149"/>
      <c r="U24" s="149"/>
      <c r="V24" s="149"/>
      <c r="W24" s="149"/>
      <c r="X24" s="149"/>
      <c r="Y24" s="149"/>
      <c r="Z24" s="149"/>
      <c r="AA24" s="149"/>
      <c r="AB24" s="149"/>
      <c r="AC24" s="150"/>
    </row>
    <row r="25" spans="3:29" x14ac:dyDescent="0.2">
      <c r="C25" s="148"/>
      <c r="D25" s="149"/>
      <c r="E25" s="149"/>
      <c r="F25" s="149"/>
      <c r="G25" s="149"/>
      <c r="H25" s="149"/>
      <c r="I25" s="149"/>
      <c r="J25" s="149"/>
      <c r="K25" s="149"/>
      <c r="L25" s="149"/>
      <c r="M25" s="149"/>
      <c r="N25" s="149"/>
      <c r="O25" s="149"/>
      <c r="P25" s="149"/>
      <c r="Q25" s="149"/>
      <c r="R25" s="149"/>
      <c r="S25" s="149"/>
      <c r="T25" s="149"/>
      <c r="U25" s="149"/>
      <c r="V25" s="149"/>
      <c r="W25" s="149"/>
      <c r="X25" s="149"/>
      <c r="Y25" s="149"/>
      <c r="Z25" s="149"/>
      <c r="AA25" s="149"/>
      <c r="AB25" s="149"/>
      <c r="AC25" s="150"/>
    </row>
    <row r="26" spans="3:29" x14ac:dyDescent="0.2">
      <c r="C26" s="148"/>
      <c r="D26" s="149"/>
      <c r="E26" s="149"/>
      <c r="F26" s="149"/>
      <c r="G26" s="149"/>
      <c r="H26" s="149"/>
      <c r="I26" s="149"/>
      <c r="J26" s="149"/>
      <c r="K26" s="149"/>
      <c r="L26" s="149"/>
      <c r="M26" s="149"/>
      <c r="N26" s="149"/>
      <c r="O26" s="149"/>
      <c r="P26" s="149"/>
      <c r="Q26" s="149"/>
      <c r="R26" s="149"/>
      <c r="S26" s="149"/>
      <c r="T26" s="149"/>
      <c r="U26" s="149"/>
      <c r="V26" s="149"/>
      <c r="W26" s="149"/>
      <c r="X26" s="149"/>
      <c r="Y26" s="149"/>
      <c r="Z26" s="149"/>
      <c r="AA26" s="149"/>
      <c r="AB26" s="149"/>
      <c r="AC26" s="150"/>
    </row>
    <row r="27" spans="3:29" x14ac:dyDescent="0.2">
      <c r="C27" s="148"/>
      <c r="D27" s="149"/>
      <c r="E27" s="149"/>
      <c r="F27" s="149"/>
      <c r="G27" s="149"/>
      <c r="H27" s="149"/>
      <c r="I27" s="149"/>
      <c r="J27" s="149"/>
      <c r="K27" s="149"/>
      <c r="L27" s="149"/>
      <c r="M27" s="149"/>
      <c r="N27" s="149"/>
      <c r="O27" s="149"/>
      <c r="P27" s="149"/>
      <c r="Q27" s="149"/>
      <c r="R27" s="149"/>
      <c r="S27" s="149"/>
      <c r="T27" s="149"/>
      <c r="U27" s="149"/>
      <c r="V27" s="149"/>
      <c r="W27" s="149"/>
      <c r="X27" s="149"/>
      <c r="Y27" s="149"/>
      <c r="Z27" s="149"/>
      <c r="AA27" s="149"/>
      <c r="AB27" s="149"/>
      <c r="AC27" s="150"/>
    </row>
    <row r="28" spans="3:29" x14ac:dyDescent="0.2">
      <c r="C28" s="148"/>
      <c r="D28" s="149"/>
      <c r="E28" s="149"/>
      <c r="F28" s="149"/>
      <c r="G28" s="149"/>
      <c r="H28" s="149"/>
      <c r="I28" s="149"/>
      <c r="J28" s="149"/>
      <c r="K28" s="149"/>
      <c r="L28" s="149"/>
      <c r="M28" s="149"/>
      <c r="N28" s="149"/>
      <c r="O28" s="149"/>
      <c r="P28" s="149"/>
      <c r="Q28" s="149"/>
      <c r="R28" s="149"/>
      <c r="S28" s="149"/>
      <c r="T28" s="149"/>
      <c r="U28" s="149"/>
      <c r="V28" s="149"/>
      <c r="W28" s="149"/>
      <c r="X28" s="149"/>
      <c r="Y28" s="149"/>
      <c r="Z28" s="149"/>
      <c r="AA28" s="149"/>
      <c r="AB28" s="149"/>
      <c r="AC28" s="150"/>
    </row>
    <row r="29" spans="3:29" x14ac:dyDescent="0.2">
      <c r="C29" s="148"/>
      <c r="D29" s="149"/>
      <c r="E29" s="149"/>
      <c r="F29" s="149"/>
      <c r="G29" s="149"/>
      <c r="H29" s="149"/>
      <c r="I29" s="149"/>
      <c r="J29" s="149"/>
      <c r="K29" s="149"/>
      <c r="L29" s="149"/>
      <c r="M29" s="149"/>
      <c r="N29" s="149"/>
      <c r="O29" s="149"/>
      <c r="P29" s="149"/>
      <c r="Q29" s="149"/>
      <c r="R29" s="149"/>
      <c r="S29" s="149"/>
      <c r="T29" s="149"/>
      <c r="U29" s="149"/>
      <c r="V29" s="149"/>
      <c r="W29" s="149"/>
      <c r="X29" s="149"/>
      <c r="Y29" s="149"/>
      <c r="Z29" s="149"/>
      <c r="AA29" s="149"/>
      <c r="AB29" s="149"/>
      <c r="AC29" s="150"/>
    </row>
    <row r="30" spans="3:29" x14ac:dyDescent="0.2">
      <c r="C30" s="148"/>
      <c r="D30" s="149"/>
      <c r="E30" s="149"/>
      <c r="F30" s="149"/>
      <c r="G30" s="149"/>
      <c r="H30" s="149"/>
      <c r="I30" s="149"/>
      <c r="J30" s="149"/>
      <c r="K30" s="149"/>
      <c r="L30" s="149"/>
      <c r="M30" s="149"/>
      <c r="N30" s="149"/>
      <c r="O30" s="149"/>
      <c r="P30" s="149"/>
      <c r="Q30" s="149"/>
      <c r="R30" s="149"/>
      <c r="S30" s="149"/>
      <c r="T30" s="149"/>
      <c r="U30" s="149"/>
      <c r="V30" s="149"/>
      <c r="W30" s="149"/>
      <c r="X30" s="149"/>
      <c r="Y30" s="149"/>
      <c r="Z30" s="149"/>
      <c r="AA30" s="149"/>
      <c r="AB30" s="149"/>
      <c r="AC30" s="150"/>
    </row>
    <row r="31" spans="3:29" x14ac:dyDescent="0.2">
      <c r="C31" s="148"/>
      <c r="D31" s="149"/>
      <c r="E31" s="149"/>
      <c r="F31" s="149"/>
      <c r="G31" s="149"/>
      <c r="H31" s="149"/>
      <c r="I31" s="149"/>
      <c r="J31" s="149"/>
      <c r="K31" s="149"/>
      <c r="L31" s="149"/>
      <c r="M31" s="149"/>
      <c r="N31" s="149"/>
      <c r="O31" s="149"/>
      <c r="P31" s="149"/>
      <c r="Q31" s="149"/>
      <c r="R31" s="149"/>
      <c r="S31" s="149"/>
      <c r="T31" s="149"/>
      <c r="U31" s="149"/>
      <c r="V31" s="149"/>
      <c r="W31" s="149"/>
      <c r="X31" s="149"/>
      <c r="Y31" s="149"/>
      <c r="Z31" s="149"/>
      <c r="AA31" s="149"/>
      <c r="AB31" s="149"/>
      <c r="AC31" s="150"/>
    </row>
    <row r="32" spans="3:29" x14ac:dyDescent="0.2">
      <c r="C32" s="148"/>
      <c r="D32" s="149"/>
      <c r="E32" s="149"/>
      <c r="F32" s="149"/>
      <c r="G32" s="149"/>
      <c r="H32" s="149"/>
      <c r="I32" s="149"/>
      <c r="J32" s="149"/>
      <c r="K32" s="149"/>
      <c r="L32" s="149"/>
      <c r="M32" s="149"/>
      <c r="N32" s="149"/>
      <c r="O32" s="149"/>
      <c r="P32" s="149"/>
      <c r="Q32" s="149"/>
      <c r="R32" s="149"/>
      <c r="S32" s="149"/>
      <c r="T32" s="149"/>
      <c r="U32" s="149"/>
      <c r="V32" s="149"/>
      <c r="W32" s="149"/>
      <c r="X32" s="149"/>
      <c r="Y32" s="149"/>
      <c r="Z32" s="149"/>
      <c r="AA32" s="149"/>
      <c r="AB32" s="149"/>
      <c r="AC32" s="150"/>
    </row>
    <row r="33" spans="3:29" x14ac:dyDescent="0.2">
      <c r="C33" s="148"/>
      <c r="D33" s="149"/>
      <c r="E33" s="149"/>
      <c r="F33" s="149"/>
      <c r="G33" s="149"/>
      <c r="H33" s="149"/>
      <c r="I33" s="149"/>
      <c r="J33" s="149"/>
      <c r="K33" s="149"/>
      <c r="L33" s="149"/>
      <c r="M33" s="149"/>
      <c r="N33" s="149"/>
      <c r="O33" s="149"/>
      <c r="P33" s="149"/>
      <c r="Q33" s="149"/>
      <c r="R33" s="149"/>
      <c r="S33" s="149"/>
      <c r="T33" s="149"/>
      <c r="U33" s="149"/>
      <c r="V33" s="149"/>
      <c r="W33" s="149"/>
      <c r="X33" s="149"/>
      <c r="Y33" s="149"/>
      <c r="Z33" s="149"/>
      <c r="AA33" s="149"/>
      <c r="AB33" s="149"/>
      <c r="AC33" s="150"/>
    </row>
    <row r="34" spans="3:29" x14ac:dyDescent="0.2">
      <c r="C34" s="148"/>
      <c r="D34" s="149"/>
      <c r="E34" s="149"/>
      <c r="F34" s="149"/>
      <c r="G34" s="149"/>
      <c r="H34" s="149"/>
      <c r="I34" s="149"/>
      <c r="J34" s="149"/>
      <c r="K34" s="149"/>
      <c r="L34" s="149"/>
      <c r="M34" s="149"/>
      <c r="N34" s="149"/>
      <c r="O34" s="149"/>
      <c r="P34" s="149"/>
      <c r="Q34" s="149"/>
      <c r="R34" s="149"/>
      <c r="S34" s="149"/>
      <c r="T34" s="149"/>
      <c r="U34" s="149"/>
      <c r="V34" s="149"/>
      <c r="W34" s="149"/>
      <c r="X34" s="149"/>
      <c r="Y34" s="149"/>
      <c r="Z34" s="149"/>
      <c r="AA34" s="149"/>
      <c r="AB34" s="149"/>
      <c r="AC34" s="150"/>
    </row>
    <row r="35" spans="3:29" ht="15.75" thickBot="1" x14ac:dyDescent="0.25">
      <c r="C35" s="153"/>
      <c r="D35" s="154"/>
      <c r="E35" s="154"/>
      <c r="F35" s="154"/>
      <c r="G35" s="154"/>
      <c r="H35" s="154"/>
      <c r="I35" s="154"/>
      <c r="J35" s="154"/>
      <c r="K35" s="154"/>
      <c r="L35" s="154"/>
      <c r="M35" s="154"/>
      <c r="N35" s="154"/>
      <c r="O35" s="154"/>
      <c r="P35" s="154"/>
      <c r="Q35" s="154"/>
      <c r="R35" s="154"/>
      <c r="S35" s="154"/>
      <c r="T35" s="154"/>
      <c r="U35" s="154"/>
      <c r="V35" s="154"/>
      <c r="W35" s="154"/>
      <c r="X35" s="154"/>
      <c r="Y35" s="154"/>
      <c r="Z35" s="154"/>
      <c r="AA35" s="154"/>
      <c r="AB35" s="154"/>
      <c r="AC35" s="155"/>
    </row>
    <row r="36" spans="3:29" x14ac:dyDescent="0.2"/>
    <row r="37" spans="3:29" s="156" customFormat="1" x14ac:dyDescent="0.2"/>
  </sheetData>
  <mergeCells count="26">
    <mergeCell ref="E11:L11"/>
    <mergeCell ref="M11:N11"/>
    <mergeCell ref="O11:AB11"/>
    <mergeCell ref="E6:AB6"/>
    <mergeCell ref="E8:L8"/>
    <mergeCell ref="M8:N8"/>
    <mergeCell ref="O8:AB8"/>
    <mergeCell ref="E9:L9"/>
    <mergeCell ref="M9:N9"/>
    <mergeCell ref="O9:AB9"/>
    <mergeCell ref="C3:AC3"/>
    <mergeCell ref="E14:L14"/>
    <mergeCell ref="M14:N14"/>
    <mergeCell ref="O14:AB14"/>
    <mergeCell ref="E15:L15"/>
    <mergeCell ref="M15:N15"/>
    <mergeCell ref="O15:AB15"/>
    <mergeCell ref="E12:L12"/>
    <mergeCell ref="M12:N12"/>
    <mergeCell ref="O12:AB12"/>
    <mergeCell ref="E13:L13"/>
    <mergeCell ref="M13:N13"/>
    <mergeCell ref="O13:AB13"/>
    <mergeCell ref="E10:L10"/>
    <mergeCell ref="M10:N10"/>
    <mergeCell ref="O10:AB10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8</vt:i4>
      </vt:variant>
    </vt:vector>
  </HeadingPairs>
  <TitlesOfParts>
    <vt:vector size="8" baseType="lpstr">
      <vt:lpstr>Exp. 1</vt:lpstr>
      <vt:lpstr>Op. Lógicos</vt:lpstr>
      <vt:lpstr>Exp. 2</vt:lpstr>
      <vt:lpstr>Exp. 3</vt:lpstr>
      <vt:lpstr>Exercício 1</vt:lpstr>
      <vt:lpstr>Exercício 2</vt:lpstr>
      <vt:lpstr>Exercício 3</vt:lpstr>
      <vt:lpstr>Exercício 4</vt:lpstr>
    </vt:vector>
  </TitlesOfParts>
  <Manager/>
  <Company>Descarpack</Company>
  <LinksUpToDate>false</LinksUpToDate>
  <SharedDoc>false</SharedDoc>
  <HyperlinkBase/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lucileide;Patricia Chambal Rodriguez</dc:creator>
  <cp:keywords/>
  <dc:description/>
  <cp:lastModifiedBy>Priscila Carla de Almeida de Oliveira</cp:lastModifiedBy>
  <cp:revision/>
  <dcterms:created xsi:type="dcterms:W3CDTF">2008-07-12T17:13:17Z</dcterms:created>
  <dcterms:modified xsi:type="dcterms:W3CDTF">2018-03-19T23:56:02Z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-1666520574</vt:i4>
  </property>
  <property fmtid="{D5CDD505-2E9C-101B-9397-08002B2CF9AE}" pid="3" name="_EmailSubject">
    <vt:lpwstr>Tipos de endereços.xls</vt:lpwstr>
  </property>
  <property fmtid="{D5CDD505-2E9C-101B-9397-08002B2CF9AE}" pid="4" name="_AuthorEmail">
    <vt:lpwstr>televendas1@descarpack.com.br</vt:lpwstr>
  </property>
  <property fmtid="{D5CDD505-2E9C-101B-9397-08002B2CF9AE}" pid="5" name="_AuthorEmailDisplayName">
    <vt:lpwstr>Lucileide</vt:lpwstr>
  </property>
  <property fmtid="{D5CDD505-2E9C-101B-9397-08002B2CF9AE}" pid="6" name="_ReviewingToolsShownOnce">
    <vt:lpwstr/>
  </property>
</Properties>
</file>